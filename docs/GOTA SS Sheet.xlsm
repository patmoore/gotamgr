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activeX/activeX5.xml" ContentType="application/vnd.ms-office.activeX+xml"/>
  <Default Extension="emf" ContentType="image/x-emf"/>
  <Override PartName="/xl/activeX/activeX6.xml" ContentType="application/vnd.ms-office.activeX+xml"/>
  <Override PartName="/xl/activeX/activeX11.bin" ContentType="application/vnd.ms-office.activeX"/>
  <Override PartName="/xl/activeX/activeX12.bin" ContentType="application/vnd.ms-office.activeX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activeX/activeX9.bin" ContentType="application/vnd.ms-office.activeX"/>
  <Override PartName="/xl/activeX/activeX11.xml" ContentType="application/vnd.ms-office.activeX+xml"/>
  <Override PartName="/xl/activeX/activeX12.xml" ContentType="application/vnd.ms-office.activeX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90" windowWidth="28755" windowHeight="12585" tabRatio="645"/>
  </bookViews>
  <sheets>
    <sheet name="Main" sheetId="17" r:id="rId1"/>
    <sheet name="Stats Scores" sheetId="11" r:id="rId2"/>
    <sheet name="Battle SS" sheetId="6" r:id="rId3"/>
    <sheet name="Trade SS" sheetId="15" r:id="rId4"/>
    <sheet name="Intrigue SS" sheetId="16" r:id="rId5"/>
    <sheet name="Items" sheetId="1" r:id="rId6"/>
    <sheet name="Misc" sheetId="2" r:id="rId7"/>
  </sheets>
  <functionGroups/>
  <definedNames>
    <definedName name="cmdHide17">Main!$B$34</definedName>
  </definedNames>
  <calcPr calcId="125725"/>
</workbook>
</file>

<file path=xl/calcChain.xml><?xml version="1.0" encoding="utf-8"?>
<calcChain xmlns="http://schemas.openxmlformats.org/spreadsheetml/2006/main">
  <c r="J6" i="11"/>
  <c r="J5"/>
  <c r="J4"/>
  <c r="J3"/>
  <c r="J2"/>
  <c r="J7" l="1"/>
  <c r="AG30" i="2" l="1"/>
  <c r="AB30"/>
  <c r="AK29"/>
  <c r="AJ29"/>
  <c r="AI29"/>
  <c r="AH29"/>
  <c r="AG29"/>
  <c r="AF29"/>
  <c r="AE29"/>
  <c r="AD29"/>
  <c r="AC29"/>
  <c r="AK28"/>
  <c r="AJ28"/>
  <c r="AI28"/>
  <c r="AH28"/>
  <c r="AG28"/>
  <c r="AF28"/>
  <c r="AE28"/>
  <c r="AD28"/>
  <c r="AC28"/>
  <c r="AK27"/>
  <c r="AJ27"/>
  <c r="AI27"/>
  <c r="AH27"/>
  <c r="AG27"/>
  <c r="AF27"/>
  <c r="AE27"/>
  <c r="AD27"/>
  <c r="AC27"/>
  <c r="AK26"/>
  <c r="AJ26"/>
  <c r="AI26"/>
  <c r="AH26"/>
  <c r="AG26"/>
  <c r="AF26"/>
  <c r="AE26"/>
  <c r="AD26"/>
  <c r="AC26"/>
  <c r="AK25"/>
  <c r="AJ25"/>
  <c r="AI25"/>
  <c r="AH25"/>
  <c r="AG25"/>
  <c r="AF25"/>
  <c r="AE25"/>
  <c r="AD25"/>
  <c r="AC25"/>
  <c r="AK24"/>
  <c r="AJ24"/>
  <c r="AI24"/>
  <c r="AH24"/>
  <c r="AG24"/>
  <c r="AF24"/>
  <c r="AE24"/>
  <c r="AD24"/>
  <c r="AC24"/>
  <c r="AN23"/>
  <c r="AP23"/>
  <c r="AM23"/>
  <c r="AL23"/>
  <c r="AQ23"/>
  <c r="AO23"/>
  <c r="AI23"/>
  <c r="AF23"/>
  <c r="AE23"/>
  <c r="AC23"/>
  <c r="AJ23"/>
  <c r="AH23"/>
  <c r="AD23"/>
  <c r="AG23"/>
  <c r="AK23"/>
  <c r="AK22" l="1"/>
  <c r="AJ22"/>
  <c r="AI22"/>
  <c r="AH22"/>
  <c r="AG22"/>
  <c r="AF22"/>
  <c r="AE22"/>
  <c r="AD22"/>
  <c r="AC22"/>
  <c r="AK21"/>
  <c r="AJ21"/>
  <c r="AI21"/>
  <c r="AH21"/>
  <c r="AG21"/>
  <c r="AF21"/>
  <c r="AE21"/>
  <c r="AD21"/>
  <c r="AC21"/>
  <c r="AK20"/>
  <c r="AJ20"/>
  <c r="AI20"/>
  <c r="AH20"/>
  <c r="AG20"/>
  <c r="AF20"/>
  <c r="AE20"/>
  <c r="AD20"/>
  <c r="AC20"/>
  <c r="AK19"/>
  <c r="AJ19"/>
  <c r="AI19"/>
  <c r="AH19"/>
  <c r="AG19"/>
  <c r="AF19"/>
  <c r="AE19"/>
  <c r="AD19"/>
  <c r="AC19"/>
  <c r="AK18"/>
  <c r="AJ18"/>
  <c r="AI18"/>
  <c r="AH18"/>
  <c r="AG18"/>
  <c r="AF18"/>
  <c r="AE18"/>
  <c r="AD18"/>
  <c r="AC18"/>
  <c r="AK17"/>
  <c r="AJ17"/>
  <c r="AI17"/>
  <c r="AH17"/>
  <c r="AG17"/>
  <c r="AF17"/>
  <c r="AE17"/>
  <c r="AD17"/>
  <c r="AC17"/>
  <c r="AK15"/>
  <c r="AJ15"/>
  <c r="AI15"/>
  <c r="AH15"/>
  <c r="AG15"/>
  <c r="AF15"/>
  <c r="AE15"/>
  <c r="AD15"/>
  <c r="AC15"/>
  <c r="AK14"/>
  <c r="AJ14"/>
  <c r="AI14"/>
  <c r="AH14"/>
  <c r="AG14"/>
  <c r="AF14"/>
  <c r="AE14"/>
  <c r="AD14"/>
  <c r="AC14"/>
  <c r="AK13"/>
  <c r="AJ13"/>
  <c r="AI13"/>
  <c r="AH13"/>
  <c r="AG13"/>
  <c r="AF13"/>
  <c r="AE13"/>
  <c r="AD13"/>
  <c r="AC13"/>
  <c r="AK12"/>
  <c r="AJ12"/>
  <c r="AI12"/>
  <c r="AH12"/>
  <c r="AG12"/>
  <c r="AF12"/>
  <c r="AE12"/>
  <c r="AD12"/>
  <c r="AC12"/>
  <c r="AK11"/>
  <c r="AJ11"/>
  <c r="AI11"/>
  <c r="AH11"/>
  <c r="AG11"/>
  <c r="AF11"/>
  <c r="AE11"/>
  <c r="AD11"/>
  <c r="AC11"/>
  <c r="AK10"/>
  <c r="AJ10"/>
  <c r="AI10"/>
  <c r="AH10"/>
  <c r="AG10"/>
  <c r="AF10"/>
  <c r="AE10"/>
  <c r="AD10"/>
  <c r="AC10"/>
  <c r="AQ9"/>
  <c r="AM9"/>
  <c r="AN9"/>
  <c r="AN16"/>
  <c r="AL9"/>
  <c r="AP16"/>
  <c r="AO16"/>
  <c r="AQ16"/>
  <c r="AO9"/>
  <c r="AL16"/>
  <c r="AP9"/>
  <c r="AM16"/>
  <c r="AD9"/>
  <c r="AK16"/>
  <c r="AE16"/>
  <c r="AC9"/>
  <c r="AI16"/>
  <c r="AE9"/>
  <c r="AF16"/>
  <c r="AI9"/>
  <c r="AC16"/>
  <c r="AD16"/>
  <c r="AG16"/>
  <c r="AJ9"/>
  <c r="AJ16"/>
  <c r="AK9"/>
  <c r="AG9"/>
  <c r="AF9"/>
  <c r="AH9"/>
  <c r="AH16"/>
  <c r="AK7" l="1"/>
  <c r="AJ7"/>
  <c r="AI7"/>
  <c r="AH7"/>
  <c r="AG7"/>
  <c r="AF7"/>
  <c r="AE7"/>
  <c r="AD7"/>
  <c r="AC7"/>
  <c r="AK6"/>
  <c r="AJ6"/>
  <c r="AI6"/>
  <c r="AH6"/>
  <c r="AG6"/>
  <c r="AF6"/>
  <c r="AE6"/>
  <c r="AD6"/>
  <c r="AC6"/>
  <c r="AK5"/>
  <c r="AJ5"/>
  <c r="AI5"/>
  <c r="AH5"/>
  <c r="AG5"/>
  <c r="AF5"/>
  <c r="AE5"/>
  <c r="AD5"/>
  <c r="AC5"/>
  <c r="AK4"/>
  <c r="AJ4"/>
  <c r="AI4"/>
  <c r="AH4"/>
  <c r="AG4"/>
  <c r="AF4"/>
  <c r="AE4"/>
  <c r="AD4"/>
  <c r="AC4"/>
  <c r="AK3"/>
  <c r="AJ3"/>
  <c r="AI3"/>
  <c r="AH3"/>
  <c r="AG3"/>
  <c r="AF3"/>
  <c r="AE3"/>
  <c r="AD3"/>
  <c r="AC3"/>
  <c r="AK2"/>
  <c r="AJ2"/>
  <c r="AI2"/>
  <c r="AH2"/>
  <c r="AG2"/>
  <c r="AF2"/>
  <c r="AE2"/>
  <c r="AD2"/>
  <c r="AC2"/>
  <c r="AI33"/>
  <c r="AK33"/>
  <c r="AK34"/>
  <c r="AG33"/>
  <c r="AK32"/>
  <c r="AI32"/>
  <c r="AG34"/>
  <c r="AI34"/>
  <c r="AG32"/>
  <c r="AC32" l="1"/>
  <c r="AC34" s="1"/>
  <c r="AE32"/>
  <c r="AE34" s="1"/>
  <c r="AD32"/>
  <c r="AD34" s="1"/>
  <c r="E58" i="16" l="1"/>
  <c r="D58"/>
  <c r="C58"/>
  <c r="E57"/>
  <c r="D57"/>
  <c r="C57"/>
  <c r="E56"/>
  <c r="D56"/>
  <c r="C56"/>
  <c r="E55"/>
  <c r="D55"/>
  <c r="C55"/>
  <c r="E54"/>
  <c r="D54"/>
  <c r="C54"/>
  <c r="E53"/>
  <c r="D53"/>
  <c r="C53"/>
  <c r="E51"/>
  <c r="D51"/>
  <c r="C51"/>
  <c r="E50"/>
  <c r="D50"/>
  <c r="C50"/>
  <c r="E49"/>
  <c r="D49"/>
  <c r="C49"/>
  <c r="E48"/>
  <c r="D48"/>
  <c r="C48"/>
  <c r="E47"/>
  <c r="D47"/>
  <c r="C47"/>
  <c r="E46"/>
  <c r="D46"/>
  <c r="C46"/>
  <c r="E23"/>
  <c r="D23"/>
  <c r="C23"/>
  <c r="E22"/>
  <c r="D22"/>
  <c r="C22"/>
  <c r="E21"/>
  <c r="D21"/>
  <c r="C21"/>
  <c r="E20"/>
  <c r="D20"/>
  <c r="C20"/>
  <c r="E19"/>
  <c r="D19"/>
  <c r="C19"/>
  <c r="E18"/>
  <c r="D18"/>
  <c r="C18"/>
  <c r="E16"/>
  <c r="D16"/>
  <c r="C16"/>
  <c r="E15"/>
  <c r="D15"/>
  <c r="C15"/>
  <c r="E14"/>
  <c r="D14"/>
  <c r="C14"/>
  <c r="E13"/>
  <c r="D13"/>
  <c r="C13"/>
  <c r="E12"/>
  <c r="D12"/>
  <c r="C12"/>
  <c r="E11"/>
  <c r="D11"/>
  <c r="C11"/>
  <c r="E58" i="15"/>
  <c r="D58"/>
  <c r="C58"/>
  <c r="E57"/>
  <c r="D57"/>
  <c r="C57"/>
  <c r="E56"/>
  <c r="D56"/>
  <c r="C56"/>
  <c r="E55"/>
  <c r="D55"/>
  <c r="C55"/>
  <c r="E54"/>
  <c r="D54"/>
  <c r="C54"/>
  <c r="E53"/>
  <c r="D53"/>
  <c r="C53"/>
  <c r="E51"/>
  <c r="D51"/>
  <c r="C51"/>
  <c r="E50"/>
  <c r="D50"/>
  <c r="C50"/>
  <c r="E49"/>
  <c r="D49"/>
  <c r="C49"/>
  <c r="E48"/>
  <c r="D48"/>
  <c r="C48"/>
  <c r="E47"/>
  <c r="D47"/>
  <c r="C47"/>
  <c r="E46"/>
  <c r="D46"/>
  <c r="C46"/>
  <c r="E23"/>
  <c r="D23"/>
  <c r="C23"/>
  <c r="E22"/>
  <c r="D22"/>
  <c r="C22"/>
  <c r="E21"/>
  <c r="D21"/>
  <c r="C21"/>
  <c r="E20"/>
  <c r="D20"/>
  <c r="C20"/>
  <c r="E19"/>
  <c r="D19"/>
  <c r="C19"/>
  <c r="E18"/>
  <c r="D18"/>
  <c r="C18"/>
  <c r="E16"/>
  <c r="D16"/>
  <c r="C16"/>
  <c r="E15"/>
  <c r="D15"/>
  <c r="C15"/>
  <c r="E14"/>
  <c r="D14"/>
  <c r="C14"/>
  <c r="E13"/>
  <c r="D13"/>
  <c r="C13"/>
  <c r="E12"/>
  <c r="D12"/>
  <c r="C12"/>
  <c r="E11"/>
  <c r="D11"/>
  <c r="C11"/>
  <c r="D10"/>
  <c r="C52"/>
  <c r="E10"/>
  <c r="D45"/>
  <c r="D45" i="16"/>
  <c r="E17" i="15"/>
  <c r="D10" i="16"/>
  <c r="C52"/>
  <c r="D17" i="15"/>
  <c r="D52"/>
  <c r="C45" i="16"/>
  <c r="C17" i="15"/>
  <c r="E52"/>
  <c r="D52" i="16"/>
  <c r="C17"/>
  <c r="E17"/>
  <c r="E52"/>
  <c r="C10" i="15"/>
  <c r="D17" i="16"/>
  <c r="C45" i="15"/>
  <c r="E45" i="16"/>
  <c r="E45" i="15"/>
  <c r="C10" i="16"/>
  <c r="E10"/>
  <c r="O18" i="17"/>
  <c r="L18"/>
  <c r="N18"/>
  <c r="P18"/>
  <c r="M18"/>
  <c r="Q18"/>
  <c r="L11"/>
  <c r="Q11"/>
  <c r="P11"/>
  <c r="M11"/>
  <c r="O11"/>
  <c r="N11"/>
  <c r="L4"/>
  <c r="O4"/>
  <c r="M4"/>
  <c r="Q4"/>
  <c r="N4"/>
  <c r="P4"/>
  <c r="E17" l="1"/>
  <c r="D17"/>
  <c r="C17"/>
  <c r="E16"/>
  <c r="D16"/>
  <c r="C16"/>
  <c r="E15"/>
  <c r="D15"/>
  <c r="C15"/>
  <c r="E14"/>
  <c r="D14"/>
  <c r="C14"/>
  <c r="E13"/>
  <c r="D13"/>
  <c r="C13"/>
  <c r="E12"/>
  <c r="D12"/>
  <c r="C12"/>
  <c r="E10"/>
  <c r="D10"/>
  <c r="C10"/>
  <c r="E9"/>
  <c r="D9"/>
  <c r="C9"/>
  <c r="E8"/>
  <c r="D8"/>
  <c r="C8"/>
  <c r="E7"/>
  <c r="D7"/>
  <c r="C7"/>
  <c r="E6"/>
  <c r="D6"/>
  <c r="C6"/>
  <c r="E5"/>
  <c r="D5"/>
  <c r="C5"/>
  <c r="E11"/>
  <c r="D11"/>
  <c r="C11"/>
  <c r="D4"/>
  <c r="C4"/>
  <c r="E4"/>
  <c r="E58" i="6" l="1"/>
  <c r="D58"/>
  <c r="C58"/>
  <c r="E57"/>
  <c r="D57"/>
  <c r="C57"/>
  <c r="E56"/>
  <c r="D56"/>
  <c r="C56"/>
  <c r="E55"/>
  <c r="D55"/>
  <c r="C55"/>
  <c r="E54"/>
  <c r="D54"/>
  <c r="C54"/>
  <c r="E53"/>
  <c r="D53"/>
  <c r="C53"/>
  <c r="E51"/>
  <c r="D51"/>
  <c r="C51"/>
  <c r="E50"/>
  <c r="D50"/>
  <c r="C50"/>
  <c r="E49"/>
  <c r="D49"/>
  <c r="C49"/>
  <c r="E48"/>
  <c r="D48"/>
  <c r="C48"/>
  <c r="E47"/>
  <c r="D47"/>
  <c r="C47"/>
  <c r="E46"/>
  <c r="D46"/>
  <c r="C46"/>
  <c r="E43"/>
  <c r="D43"/>
  <c r="C43"/>
  <c r="E42"/>
  <c r="D42"/>
  <c r="C42"/>
  <c r="E41"/>
  <c r="D41"/>
  <c r="C41"/>
  <c r="E40"/>
  <c r="D40"/>
  <c r="C40"/>
  <c r="E39"/>
  <c r="D39"/>
  <c r="C39"/>
  <c r="E38"/>
  <c r="D38"/>
  <c r="C38"/>
  <c r="C52"/>
  <c r="D45"/>
  <c r="E52"/>
  <c r="E45"/>
  <c r="D52"/>
  <c r="C45"/>
  <c r="D68" l="1"/>
  <c r="C68"/>
  <c r="E68"/>
  <c r="G31"/>
  <c r="E3" i="17"/>
  <c r="D3"/>
  <c r="C3"/>
  <c r="K24"/>
  <c r="J24"/>
  <c r="I24"/>
  <c r="H24"/>
  <c r="G24"/>
  <c r="F24"/>
  <c r="E24"/>
  <c r="D24"/>
  <c r="C24"/>
  <c r="K23"/>
  <c r="J23"/>
  <c r="I23"/>
  <c r="H23"/>
  <c r="G23"/>
  <c r="F23"/>
  <c r="E23"/>
  <c r="D23"/>
  <c r="C23"/>
  <c r="K22"/>
  <c r="J22"/>
  <c r="I22"/>
  <c r="H22"/>
  <c r="G22"/>
  <c r="F22"/>
  <c r="E22"/>
  <c r="D22"/>
  <c r="C22"/>
  <c r="K21"/>
  <c r="J21"/>
  <c r="I21"/>
  <c r="H21"/>
  <c r="G21"/>
  <c r="F21"/>
  <c r="E21"/>
  <c r="D21"/>
  <c r="C21"/>
  <c r="K20"/>
  <c r="J20"/>
  <c r="I20"/>
  <c r="H20"/>
  <c r="G20"/>
  <c r="F20"/>
  <c r="E20"/>
  <c r="D20"/>
  <c r="C20"/>
  <c r="K19"/>
  <c r="J19"/>
  <c r="I19"/>
  <c r="H19"/>
  <c r="G19"/>
  <c r="F19"/>
  <c r="E19"/>
  <c r="D19"/>
  <c r="C19"/>
  <c r="F18"/>
  <c r="G18"/>
  <c r="J18"/>
  <c r="H18"/>
  <c r="K18"/>
  <c r="I18"/>
  <c r="C18"/>
  <c r="E18"/>
  <c r="D18"/>
  <c r="D28" l="1"/>
  <c r="C28"/>
  <c r="E28"/>
  <c r="K17"/>
  <c r="J17"/>
  <c r="I17"/>
  <c r="H17"/>
  <c r="G17"/>
  <c r="F17"/>
  <c r="K16"/>
  <c r="J16"/>
  <c r="I16"/>
  <c r="H16"/>
  <c r="G16"/>
  <c r="F16"/>
  <c r="K15"/>
  <c r="J15"/>
  <c r="I15"/>
  <c r="H15"/>
  <c r="G15"/>
  <c r="F15"/>
  <c r="K14"/>
  <c r="J14"/>
  <c r="I14"/>
  <c r="H14"/>
  <c r="G14"/>
  <c r="F14"/>
  <c r="K13"/>
  <c r="J13"/>
  <c r="I13"/>
  <c r="H13"/>
  <c r="G13"/>
  <c r="F13"/>
  <c r="K12"/>
  <c r="J12"/>
  <c r="I12"/>
  <c r="H12"/>
  <c r="G12"/>
  <c r="F12"/>
  <c r="K10"/>
  <c r="J10"/>
  <c r="I10"/>
  <c r="H10"/>
  <c r="G10"/>
  <c r="F10"/>
  <c r="K9"/>
  <c r="J9"/>
  <c r="I9"/>
  <c r="H9"/>
  <c r="G9"/>
  <c r="F9"/>
  <c r="K8"/>
  <c r="J8"/>
  <c r="I8"/>
  <c r="H8"/>
  <c r="G8"/>
  <c r="F8"/>
  <c r="K7"/>
  <c r="J7"/>
  <c r="I7"/>
  <c r="H7"/>
  <c r="G7"/>
  <c r="F7"/>
  <c r="K6"/>
  <c r="J6"/>
  <c r="I6"/>
  <c r="H6"/>
  <c r="G6"/>
  <c r="F6"/>
  <c r="K5"/>
  <c r="J5"/>
  <c r="I5"/>
  <c r="H5"/>
  <c r="G5"/>
  <c r="F5"/>
  <c r="F11"/>
  <c r="G11"/>
  <c r="H11"/>
  <c r="J11"/>
  <c r="K11"/>
  <c r="I11"/>
  <c r="J4"/>
  <c r="I4"/>
  <c r="F4"/>
  <c r="K4"/>
  <c r="H4"/>
  <c r="G4"/>
  <c r="I26"/>
  <c r="I27"/>
  <c r="K27"/>
  <c r="G26"/>
  <c r="G27"/>
  <c r="K26"/>
  <c r="K28"/>
  <c r="I28"/>
  <c r="D1" i="11" l="1"/>
  <c r="B1"/>
  <c r="F1"/>
  <c r="P26" i="17"/>
  <c r="O28"/>
  <c r="P27"/>
  <c r="O26"/>
  <c r="N26"/>
  <c r="G28"/>
  <c r="N27"/>
  <c r="O27"/>
  <c r="P28"/>
  <c r="AP32" i="2"/>
  <c r="AO33"/>
  <c r="AO32"/>
  <c r="AN34"/>
  <c r="AN33"/>
  <c r="AP33"/>
  <c r="AP34"/>
  <c r="AO34"/>
  <c r="AN32"/>
  <c r="D16" i="11" l="1"/>
  <c r="B14"/>
  <c r="N28" i="17"/>
  <c r="G66" i="16" l="1"/>
  <c r="B66"/>
  <c r="K65"/>
  <c r="J65"/>
  <c r="I65"/>
  <c r="H65"/>
  <c r="G65"/>
  <c r="F65"/>
  <c r="E65"/>
  <c r="D65"/>
  <c r="C65"/>
  <c r="K64"/>
  <c r="J64"/>
  <c r="I64"/>
  <c r="H64"/>
  <c r="G64"/>
  <c r="F64"/>
  <c r="E64"/>
  <c r="D64"/>
  <c r="C64"/>
  <c r="K63"/>
  <c r="J63"/>
  <c r="I63"/>
  <c r="H63"/>
  <c r="G63"/>
  <c r="F63"/>
  <c r="E63"/>
  <c r="D63"/>
  <c r="C63"/>
  <c r="K62"/>
  <c r="J62"/>
  <c r="I62"/>
  <c r="H62"/>
  <c r="G62"/>
  <c r="F62"/>
  <c r="E62"/>
  <c r="D62"/>
  <c r="C62"/>
  <c r="K61"/>
  <c r="J61"/>
  <c r="I61"/>
  <c r="H61"/>
  <c r="G61"/>
  <c r="F61"/>
  <c r="E61"/>
  <c r="D61"/>
  <c r="C61"/>
  <c r="K60"/>
  <c r="J60"/>
  <c r="I60"/>
  <c r="H60"/>
  <c r="G60"/>
  <c r="F60"/>
  <c r="E60"/>
  <c r="D60"/>
  <c r="C60"/>
  <c r="P59"/>
  <c r="L59"/>
  <c r="M59"/>
  <c r="N59"/>
  <c r="O59"/>
  <c r="Q59"/>
  <c r="K59"/>
  <c r="I59"/>
  <c r="F59"/>
  <c r="H59"/>
  <c r="C59"/>
  <c r="G59"/>
  <c r="E59"/>
  <c r="J59"/>
  <c r="D59"/>
  <c r="K58" l="1"/>
  <c r="J58"/>
  <c r="I58"/>
  <c r="H58"/>
  <c r="G58"/>
  <c r="F58"/>
  <c r="K57"/>
  <c r="J57"/>
  <c r="I57"/>
  <c r="H57"/>
  <c r="G57"/>
  <c r="F57"/>
  <c r="K56"/>
  <c r="J56"/>
  <c r="I56"/>
  <c r="H56"/>
  <c r="G56"/>
  <c r="F56"/>
  <c r="K55"/>
  <c r="J55"/>
  <c r="I55"/>
  <c r="H55"/>
  <c r="G55"/>
  <c r="F55"/>
  <c r="K54"/>
  <c r="J54"/>
  <c r="I54"/>
  <c r="H54"/>
  <c r="G54"/>
  <c r="F54"/>
  <c r="K53"/>
  <c r="J53"/>
  <c r="I53"/>
  <c r="H53"/>
  <c r="G53"/>
  <c r="F53"/>
  <c r="K51"/>
  <c r="J51"/>
  <c r="I51"/>
  <c r="H51"/>
  <c r="G51"/>
  <c r="F51"/>
  <c r="K50"/>
  <c r="J50"/>
  <c r="I50"/>
  <c r="H50"/>
  <c r="G50"/>
  <c r="F50"/>
  <c r="K49"/>
  <c r="J49"/>
  <c r="I49"/>
  <c r="H49"/>
  <c r="G49"/>
  <c r="F49"/>
  <c r="K48"/>
  <c r="J48"/>
  <c r="I48"/>
  <c r="H48"/>
  <c r="G48"/>
  <c r="F48"/>
  <c r="K47"/>
  <c r="J47"/>
  <c r="I47"/>
  <c r="H47"/>
  <c r="G47"/>
  <c r="F47"/>
  <c r="K46"/>
  <c r="J46"/>
  <c r="I46"/>
  <c r="H46"/>
  <c r="G46"/>
  <c r="F46"/>
  <c r="K43"/>
  <c r="J43"/>
  <c r="I43"/>
  <c r="H43"/>
  <c r="G43"/>
  <c r="F43"/>
  <c r="E43"/>
  <c r="D43"/>
  <c r="C43"/>
  <c r="K42"/>
  <c r="J42"/>
  <c r="I42"/>
  <c r="H42"/>
  <c r="G42"/>
  <c r="F42"/>
  <c r="E42"/>
  <c r="D42"/>
  <c r="C42"/>
  <c r="K41"/>
  <c r="J41"/>
  <c r="I41"/>
  <c r="H41"/>
  <c r="G41"/>
  <c r="F41"/>
  <c r="E41"/>
  <c r="D41"/>
  <c r="C41"/>
  <c r="K40"/>
  <c r="J40"/>
  <c r="I40"/>
  <c r="H40"/>
  <c r="G40"/>
  <c r="F40"/>
  <c r="E40"/>
  <c r="D40"/>
  <c r="C40"/>
  <c r="K39"/>
  <c r="J39"/>
  <c r="I39"/>
  <c r="H39"/>
  <c r="G39"/>
  <c r="F39"/>
  <c r="E39"/>
  <c r="D39"/>
  <c r="C39"/>
  <c r="K38"/>
  <c r="J38"/>
  <c r="I38"/>
  <c r="H38"/>
  <c r="G38"/>
  <c r="F38"/>
  <c r="E38"/>
  <c r="D38"/>
  <c r="C38"/>
  <c r="Q52"/>
  <c r="P45"/>
  <c r="M45"/>
  <c r="O45"/>
  <c r="L45"/>
  <c r="O52"/>
  <c r="L52"/>
  <c r="P52"/>
  <c r="Q45"/>
  <c r="N52"/>
  <c r="M52"/>
  <c r="N45"/>
  <c r="I45"/>
  <c r="G45"/>
  <c r="F45"/>
  <c r="K52"/>
  <c r="J45"/>
  <c r="G52"/>
  <c r="I52"/>
  <c r="H45"/>
  <c r="H52"/>
  <c r="K45"/>
  <c r="J52"/>
  <c r="F52"/>
  <c r="K70"/>
  <c r="G69"/>
  <c r="K68"/>
  <c r="G68"/>
  <c r="I68"/>
  <c r="I69"/>
  <c r="I70"/>
  <c r="G70"/>
  <c r="K69"/>
  <c r="C68" l="1"/>
  <c r="C70" s="1"/>
  <c r="E68"/>
  <c r="E70" s="1"/>
  <c r="D68"/>
  <c r="D70" s="1"/>
  <c r="N70"/>
  <c r="N68"/>
  <c r="N69"/>
  <c r="O68"/>
  <c r="O70"/>
  <c r="O69"/>
  <c r="P70"/>
  <c r="P69"/>
  <c r="P68"/>
  <c r="O7" i="11" l="1"/>
  <c r="M7"/>
  <c r="P7"/>
  <c r="K7"/>
  <c r="N7"/>
  <c r="R7"/>
  <c r="L7"/>
  <c r="Q7"/>
  <c r="S7"/>
  <c r="G31" i="16"/>
  <c r="B31"/>
  <c r="K30"/>
  <c r="J30"/>
  <c r="I30"/>
  <c r="H30"/>
  <c r="G30"/>
  <c r="F30"/>
  <c r="E30"/>
  <c r="D30"/>
  <c r="C30"/>
  <c r="K29"/>
  <c r="J29"/>
  <c r="I29"/>
  <c r="H29"/>
  <c r="G29"/>
  <c r="F29"/>
  <c r="E29"/>
  <c r="D29"/>
  <c r="C29"/>
  <c r="K28"/>
  <c r="J28"/>
  <c r="I28"/>
  <c r="H28"/>
  <c r="G28"/>
  <c r="F28"/>
  <c r="E28"/>
  <c r="D28"/>
  <c r="C28"/>
  <c r="K27"/>
  <c r="J27"/>
  <c r="I27"/>
  <c r="H27"/>
  <c r="G27"/>
  <c r="F27"/>
  <c r="E27"/>
  <c r="D27"/>
  <c r="C27"/>
  <c r="K26"/>
  <c r="J26"/>
  <c r="I26"/>
  <c r="H26"/>
  <c r="G26"/>
  <c r="F26"/>
  <c r="E26"/>
  <c r="D26"/>
  <c r="C26"/>
  <c r="K25"/>
  <c r="J25"/>
  <c r="I25"/>
  <c r="H25"/>
  <c r="G25"/>
  <c r="F25"/>
  <c r="E25"/>
  <c r="D25"/>
  <c r="C25"/>
  <c r="K23"/>
  <c r="J23"/>
  <c r="I23"/>
  <c r="H23"/>
  <c r="G23"/>
  <c r="F23"/>
  <c r="K22"/>
  <c r="J22"/>
  <c r="I22"/>
  <c r="H22"/>
  <c r="G22"/>
  <c r="F22"/>
  <c r="K21"/>
  <c r="J21"/>
  <c r="I21"/>
  <c r="H21"/>
  <c r="G21"/>
  <c r="F21"/>
  <c r="K20"/>
  <c r="J20"/>
  <c r="I20"/>
  <c r="H20"/>
  <c r="G20"/>
  <c r="F20"/>
  <c r="K19"/>
  <c r="J19"/>
  <c r="I19"/>
  <c r="H19"/>
  <c r="G19"/>
  <c r="F19"/>
  <c r="K18"/>
  <c r="J18"/>
  <c r="I18"/>
  <c r="H18"/>
  <c r="G18"/>
  <c r="F18"/>
  <c r="K16"/>
  <c r="J16"/>
  <c r="I16"/>
  <c r="H16"/>
  <c r="G16"/>
  <c r="F16"/>
  <c r="K15"/>
  <c r="J15"/>
  <c r="I15"/>
  <c r="H15"/>
  <c r="G15"/>
  <c r="F15"/>
  <c r="K14"/>
  <c r="J14"/>
  <c r="I14"/>
  <c r="H14"/>
  <c r="G14"/>
  <c r="F14"/>
  <c r="K13"/>
  <c r="J13"/>
  <c r="I13"/>
  <c r="H13"/>
  <c r="G13"/>
  <c r="F13"/>
  <c r="K12"/>
  <c r="J12"/>
  <c r="I12"/>
  <c r="H12"/>
  <c r="G12"/>
  <c r="F12"/>
  <c r="K11"/>
  <c r="J11"/>
  <c r="I11"/>
  <c r="H11"/>
  <c r="G11"/>
  <c r="F11"/>
  <c r="K8"/>
  <c r="J8"/>
  <c r="I8"/>
  <c r="H8"/>
  <c r="G8"/>
  <c r="F8"/>
  <c r="E8"/>
  <c r="D8"/>
  <c r="C8"/>
  <c r="K7"/>
  <c r="J7"/>
  <c r="I7"/>
  <c r="H7"/>
  <c r="G7"/>
  <c r="F7"/>
  <c r="E7"/>
  <c r="D7"/>
  <c r="C7"/>
  <c r="K6"/>
  <c r="J6"/>
  <c r="I6"/>
  <c r="H6"/>
  <c r="G6"/>
  <c r="F6"/>
  <c r="E6"/>
  <c r="D6"/>
  <c r="C6"/>
  <c r="K5"/>
  <c r="J5"/>
  <c r="I5"/>
  <c r="H5"/>
  <c r="G5"/>
  <c r="F5"/>
  <c r="E5"/>
  <c r="D5"/>
  <c r="C5"/>
  <c r="K4"/>
  <c r="J4"/>
  <c r="I4"/>
  <c r="H4"/>
  <c r="G4"/>
  <c r="F4"/>
  <c r="E4"/>
  <c r="D4"/>
  <c r="C4"/>
  <c r="K3"/>
  <c r="J3"/>
  <c r="I3"/>
  <c r="H3"/>
  <c r="G3"/>
  <c r="F3"/>
  <c r="E3"/>
  <c r="D3"/>
  <c r="C3"/>
  <c r="P24"/>
  <c r="Q24"/>
  <c r="N10"/>
  <c r="O17"/>
  <c r="P10"/>
  <c r="L17"/>
  <c r="N24"/>
  <c r="Q10"/>
  <c r="M17"/>
  <c r="L24"/>
  <c r="P17"/>
  <c r="Q17"/>
  <c r="O10"/>
  <c r="M10"/>
  <c r="L10"/>
  <c r="O24"/>
  <c r="M24"/>
  <c r="N17"/>
  <c r="J17"/>
  <c r="K17"/>
  <c r="K24"/>
  <c r="I17"/>
  <c r="G24"/>
  <c r="J10"/>
  <c r="H24"/>
  <c r="G17"/>
  <c r="I24"/>
  <c r="F24"/>
  <c r="E24"/>
  <c r="I10"/>
  <c r="D24"/>
  <c r="F10"/>
  <c r="C24"/>
  <c r="G10"/>
  <c r="J24"/>
  <c r="K10"/>
  <c r="H17"/>
  <c r="H10"/>
  <c r="F17"/>
  <c r="G33"/>
  <c r="I35"/>
  <c r="K34"/>
  <c r="G34"/>
  <c r="G35"/>
  <c r="I34"/>
  <c r="K33"/>
  <c r="I33"/>
  <c r="K35"/>
  <c r="X7" i="11" l="1"/>
  <c r="D33" i="16"/>
  <c r="D35" s="1"/>
  <c r="C33"/>
  <c r="C35" s="1"/>
  <c r="E33"/>
  <c r="E35" s="1"/>
  <c r="P33"/>
  <c r="P35"/>
  <c r="P34"/>
  <c r="O34"/>
  <c r="O33"/>
  <c r="O35"/>
  <c r="N35"/>
  <c r="N34"/>
  <c r="N33"/>
  <c r="S6" i="11" l="1"/>
  <c r="P6"/>
  <c r="Q6"/>
  <c r="N6"/>
  <c r="R6"/>
  <c r="O6"/>
  <c r="M6"/>
  <c r="K6"/>
  <c r="G30" s="1"/>
  <c r="L6"/>
  <c r="X6" l="1"/>
  <c r="G66" i="15"/>
  <c r="B66"/>
  <c r="K65"/>
  <c r="J65"/>
  <c r="I65"/>
  <c r="H65"/>
  <c r="G65"/>
  <c r="F65"/>
  <c r="E65"/>
  <c r="D65"/>
  <c r="C65"/>
  <c r="K64"/>
  <c r="J64"/>
  <c r="I64"/>
  <c r="H64"/>
  <c r="G64"/>
  <c r="F64"/>
  <c r="E64"/>
  <c r="D64"/>
  <c r="C64"/>
  <c r="K63"/>
  <c r="J63"/>
  <c r="I63"/>
  <c r="H63"/>
  <c r="G63"/>
  <c r="F63"/>
  <c r="E63"/>
  <c r="D63"/>
  <c r="C63"/>
  <c r="K62"/>
  <c r="J62"/>
  <c r="I62"/>
  <c r="H62"/>
  <c r="G62"/>
  <c r="F62"/>
  <c r="E62"/>
  <c r="D62"/>
  <c r="C62"/>
  <c r="K61"/>
  <c r="J61"/>
  <c r="I61"/>
  <c r="H61"/>
  <c r="G61"/>
  <c r="F61"/>
  <c r="E61"/>
  <c r="D61"/>
  <c r="C61"/>
  <c r="K60"/>
  <c r="J60"/>
  <c r="I60"/>
  <c r="H60"/>
  <c r="G60"/>
  <c r="F60"/>
  <c r="E60"/>
  <c r="D60"/>
  <c r="C60"/>
  <c r="K58"/>
  <c r="J58"/>
  <c r="I58"/>
  <c r="H58"/>
  <c r="G58"/>
  <c r="F58"/>
  <c r="K57"/>
  <c r="J57"/>
  <c r="I57"/>
  <c r="H57"/>
  <c r="G57"/>
  <c r="F57"/>
  <c r="K56"/>
  <c r="J56"/>
  <c r="I56"/>
  <c r="H56"/>
  <c r="G56"/>
  <c r="F56"/>
  <c r="K55"/>
  <c r="J55"/>
  <c r="I55"/>
  <c r="H55"/>
  <c r="G55"/>
  <c r="F55"/>
  <c r="K54"/>
  <c r="J54"/>
  <c r="I54"/>
  <c r="H54"/>
  <c r="G54"/>
  <c r="F54"/>
  <c r="K53"/>
  <c r="J53"/>
  <c r="I53"/>
  <c r="H53"/>
  <c r="G53"/>
  <c r="F53"/>
  <c r="K51"/>
  <c r="J51"/>
  <c r="I51"/>
  <c r="H51"/>
  <c r="G51"/>
  <c r="F51"/>
  <c r="K50"/>
  <c r="J50"/>
  <c r="I50"/>
  <c r="H50"/>
  <c r="G50"/>
  <c r="F50"/>
  <c r="K49"/>
  <c r="J49"/>
  <c r="I49"/>
  <c r="H49"/>
  <c r="G49"/>
  <c r="F49"/>
  <c r="K48"/>
  <c r="J48"/>
  <c r="I48"/>
  <c r="H48"/>
  <c r="G48"/>
  <c r="F48"/>
  <c r="K47"/>
  <c r="J47"/>
  <c r="I47"/>
  <c r="H47"/>
  <c r="G47"/>
  <c r="F47"/>
  <c r="K46"/>
  <c r="J46"/>
  <c r="I46"/>
  <c r="H46"/>
  <c r="G46"/>
  <c r="F46"/>
  <c r="K43"/>
  <c r="J43"/>
  <c r="I43"/>
  <c r="H43"/>
  <c r="G43"/>
  <c r="F43"/>
  <c r="E43"/>
  <c r="D43"/>
  <c r="C43"/>
  <c r="K42"/>
  <c r="J42"/>
  <c r="I42"/>
  <c r="H42"/>
  <c r="G42"/>
  <c r="F42"/>
  <c r="E42"/>
  <c r="D42"/>
  <c r="C42"/>
  <c r="K41"/>
  <c r="J41"/>
  <c r="I41"/>
  <c r="H41"/>
  <c r="G41"/>
  <c r="F41"/>
  <c r="E41"/>
  <c r="D41"/>
  <c r="C41"/>
  <c r="K40"/>
  <c r="J40"/>
  <c r="I40"/>
  <c r="H40"/>
  <c r="G40"/>
  <c r="F40"/>
  <c r="E40"/>
  <c r="D40"/>
  <c r="C40"/>
  <c r="K39"/>
  <c r="J39"/>
  <c r="I39"/>
  <c r="H39"/>
  <c r="G39"/>
  <c r="F39"/>
  <c r="E39"/>
  <c r="D39"/>
  <c r="C39"/>
  <c r="K38"/>
  <c r="J38"/>
  <c r="I38"/>
  <c r="H38"/>
  <c r="G38"/>
  <c r="F38"/>
  <c r="E38"/>
  <c r="D38"/>
  <c r="C38"/>
  <c r="Q45"/>
  <c r="N52"/>
  <c r="Q52"/>
  <c r="P45"/>
  <c r="O52"/>
  <c r="O45"/>
  <c r="O59"/>
  <c r="L52"/>
  <c r="Q59"/>
  <c r="N45"/>
  <c r="L45"/>
  <c r="M59"/>
  <c r="N59"/>
  <c r="L59"/>
  <c r="P59"/>
  <c r="M52"/>
  <c r="M45"/>
  <c r="P52"/>
  <c r="G52"/>
  <c r="K45"/>
  <c r="F52"/>
  <c r="J59"/>
  <c r="H59"/>
  <c r="F59"/>
  <c r="J52"/>
  <c r="J45"/>
  <c r="I45"/>
  <c r="C59"/>
  <c r="D59"/>
  <c r="G59"/>
  <c r="K52"/>
  <c r="F45"/>
  <c r="E59"/>
  <c r="H52"/>
  <c r="I52"/>
  <c r="K59"/>
  <c r="G45"/>
  <c r="I59"/>
  <c r="H45"/>
  <c r="I70"/>
  <c r="G70"/>
  <c r="I69"/>
  <c r="K68"/>
  <c r="K69"/>
  <c r="G69"/>
  <c r="K70"/>
  <c r="D68" l="1"/>
  <c r="D70" s="1"/>
  <c r="C68"/>
  <c r="C70" s="1"/>
  <c r="E68"/>
  <c r="E70" s="1"/>
  <c r="G31"/>
  <c r="B31"/>
  <c r="K30"/>
  <c r="J30"/>
  <c r="I30"/>
  <c r="H30"/>
  <c r="G30"/>
  <c r="F30"/>
  <c r="E30"/>
  <c r="D30"/>
  <c r="C30"/>
  <c r="K29"/>
  <c r="J29"/>
  <c r="I29"/>
  <c r="H29"/>
  <c r="G29"/>
  <c r="F29"/>
  <c r="E29"/>
  <c r="D29"/>
  <c r="C29"/>
  <c r="K28"/>
  <c r="J28"/>
  <c r="I28"/>
  <c r="H28"/>
  <c r="G28"/>
  <c r="F28"/>
  <c r="E28"/>
  <c r="D28"/>
  <c r="C28"/>
  <c r="K27"/>
  <c r="J27"/>
  <c r="I27"/>
  <c r="H27"/>
  <c r="G27"/>
  <c r="F27"/>
  <c r="E27"/>
  <c r="D27"/>
  <c r="C27"/>
  <c r="K26"/>
  <c r="J26"/>
  <c r="I26"/>
  <c r="H26"/>
  <c r="G26"/>
  <c r="F26"/>
  <c r="E26"/>
  <c r="D26"/>
  <c r="C26"/>
  <c r="K25"/>
  <c r="J25"/>
  <c r="I25"/>
  <c r="H25"/>
  <c r="G25"/>
  <c r="F25"/>
  <c r="E25"/>
  <c r="D25"/>
  <c r="C25"/>
  <c r="K23"/>
  <c r="J23"/>
  <c r="I23"/>
  <c r="H23"/>
  <c r="G23"/>
  <c r="F23"/>
  <c r="K22"/>
  <c r="J22"/>
  <c r="I22"/>
  <c r="H22"/>
  <c r="G22"/>
  <c r="F22"/>
  <c r="K21"/>
  <c r="J21"/>
  <c r="I21"/>
  <c r="H21"/>
  <c r="G21"/>
  <c r="F21"/>
  <c r="K20"/>
  <c r="J20"/>
  <c r="I20"/>
  <c r="H20"/>
  <c r="G20"/>
  <c r="F20"/>
  <c r="K19"/>
  <c r="J19"/>
  <c r="I19"/>
  <c r="H19"/>
  <c r="G19"/>
  <c r="F19"/>
  <c r="K18"/>
  <c r="J18"/>
  <c r="I18"/>
  <c r="H18"/>
  <c r="G18"/>
  <c r="F18"/>
  <c r="K16"/>
  <c r="J16"/>
  <c r="I16"/>
  <c r="H16"/>
  <c r="G16"/>
  <c r="F16"/>
  <c r="K15"/>
  <c r="J15"/>
  <c r="I15"/>
  <c r="H15"/>
  <c r="G15"/>
  <c r="F15"/>
  <c r="K14"/>
  <c r="J14"/>
  <c r="I14"/>
  <c r="H14"/>
  <c r="G14"/>
  <c r="F14"/>
  <c r="K13"/>
  <c r="J13"/>
  <c r="I13"/>
  <c r="H13"/>
  <c r="G13"/>
  <c r="F13"/>
  <c r="K12"/>
  <c r="J12"/>
  <c r="I12"/>
  <c r="H12"/>
  <c r="G12"/>
  <c r="F12"/>
  <c r="K11"/>
  <c r="J11"/>
  <c r="I11"/>
  <c r="H11"/>
  <c r="G11"/>
  <c r="F11"/>
  <c r="K8"/>
  <c r="J8"/>
  <c r="I8"/>
  <c r="H8"/>
  <c r="G8"/>
  <c r="F8"/>
  <c r="E8"/>
  <c r="D8"/>
  <c r="C8"/>
  <c r="K7"/>
  <c r="J7"/>
  <c r="I7"/>
  <c r="H7"/>
  <c r="G7"/>
  <c r="F7"/>
  <c r="E7"/>
  <c r="D7"/>
  <c r="C7"/>
  <c r="K6"/>
  <c r="J6"/>
  <c r="I6"/>
  <c r="H6"/>
  <c r="G6"/>
  <c r="F6"/>
  <c r="E6"/>
  <c r="D6"/>
  <c r="C6"/>
  <c r="K5"/>
  <c r="J5"/>
  <c r="I5"/>
  <c r="H5"/>
  <c r="G5"/>
  <c r="F5"/>
  <c r="E5"/>
  <c r="D5"/>
  <c r="C5"/>
  <c r="K4"/>
  <c r="J4"/>
  <c r="I4"/>
  <c r="H4"/>
  <c r="G4"/>
  <c r="F4"/>
  <c r="E4"/>
  <c r="D4"/>
  <c r="C4"/>
  <c r="K3"/>
  <c r="J3"/>
  <c r="I3"/>
  <c r="H3"/>
  <c r="G3"/>
  <c r="F3"/>
  <c r="E3"/>
  <c r="D3"/>
  <c r="C3"/>
  <c r="M24"/>
  <c r="O17"/>
  <c r="P24"/>
  <c r="L24"/>
  <c r="Q17"/>
  <c r="P17"/>
  <c r="Q10"/>
  <c r="P10"/>
  <c r="M17"/>
  <c r="L10"/>
  <c r="O10"/>
  <c r="N10"/>
  <c r="N24"/>
  <c r="N17"/>
  <c r="L17"/>
  <c r="Q24"/>
  <c r="O24"/>
  <c r="M10"/>
  <c r="H24"/>
  <c r="F10"/>
  <c r="K24"/>
  <c r="I17"/>
  <c r="K10"/>
  <c r="G10"/>
  <c r="F17"/>
  <c r="K17"/>
  <c r="G24"/>
  <c r="J17"/>
  <c r="I10"/>
  <c r="G68"/>
  <c r="H10"/>
  <c r="E24"/>
  <c r="G17"/>
  <c r="F24"/>
  <c r="C24"/>
  <c r="D24"/>
  <c r="J10"/>
  <c r="J24"/>
  <c r="H17"/>
  <c r="I24"/>
  <c r="I68"/>
  <c r="K34"/>
  <c r="K33"/>
  <c r="G33"/>
  <c r="G34"/>
  <c r="I33"/>
  <c r="I34"/>
  <c r="K35"/>
  <c r="G35"/>
  <c r="N69"/>
  <c r="N68"/>
  <c r="N70"/>
  <c r="O69"/>
  <c r="O70"/>
  <c r="P70"/>
  <c r="P69"/>
  <c r="P68"/>
  <c r="D33" l="1"/>
  <c r="D35" s="1"/>
  <c r="C33"/>
  <c r="C35" s="1"/>
  <c r="E33"/>
  <c r="E35" s="1"/>
  <c r="I35"/>
  <c r="M45" i="6"/>
  <c r="N45"/>
  <c r="M24"/>
  <c r="L45"/>
  <c r="L10"/>
  <c r="P59"/>
  <c r="Q59"/>
  <c r="L24"/>
  <c r="N10"/>
  <c r="L17"/>
  <c r="O59"/>
  <c r="N52"/>
  <c r="L59"/>
  <c r="N24"/>
  <c r="M17"/>
  <c r="M59"/>
  <c r="M52"/>
  <c r="M10"/>
  <c r="N59"/>
  <c r="N17"/>
  <c r="L52"/>
  <c r="I59"/>
  <c r="G59"/>
  <c r="K59"/>
  <c r="H59"/>
  <c r="F59"/>
  <c r="J59"/>
  <c r="O68" i="15"/>
  <c r="P34"/>
  <c r="P33"/>
  <c r="P35"/>
  <c r="O33"/>
  <c r="O35"/>
  <c r="O34"/>
  <c r="N34"/>
  <c r="N35"/>
  <c r="N33"/>
  <c r="K58" i="6" l="1"/>
  <c r="J58"/>
  <c r="I58"/>
  <c r="H58"/>
  <c r="G58"/>
  <c r="F58"/>
  <c r="K57"/>
  <c r="J57"/>
  <c r="I57"/>
  <c r="H57"/>
  <c r="G57"/>
  <c r="F57"/>
  <c r="K56"/>
  <c r="J56"/>
  <c r="I56"/>
  <c r="H56"/>
  <c r="G56"/>
  <c r="F56"/>
  <c r="K55"/>
  <c r="J55"/>
  <c r="I55"/>
  <c r="H55"/>
  <c r="G55"/>
  <c r="F55"/>
  <c r="K54"/>
  <c r="J54"/>
  <c r="I54"/>
  <c r="H54"/>
  <c r="G54"/>
  <c r="F54"/>
  <c r="K53"/>
  <c r="J53"/>
  <c r="I53"/>
  <c r="H53"/>
  <c r="G53"/>
  <c r="F53"/>
  <c r="P52"/>
  <c r="Q52"/>
  <c r="O52"/>
  <c r="H52"/>
  <c r="G52"/>
  <c r="J52"/>
  <c r="K52"/>
  <c r="F52"/>
  <c r="I52"/>
  <c r="K51" l="1"/>
  <c r="J51"/>
  <c r="I51"/>
  <c r="H51"/>
  <c r="G51"/>
  <c r="F51"/>
  <c r="K50"/>
  <c r="J50"/>
  <c r="I50"/>
  <c r="H50"/>
  <c r="G50"/>
  <c r="F50"/>
  <c r="K49"/>
  <c r="J49"/>
  <c r="I49"/>
  <c r="H49"/>
  <c r="G49"/>
  <c r="F49"/>
  <c r="K48"/>
  <c r="J48"/>
  <c r="I48"/>
  <c r="H48"/>
  <c r="G48"/>
  <c r="F48"/>
  <c r="K47"/>
  <c r="J47"/>
  <c r="I47"/>
  <c r="H47"/>
  <c r="G47"/>
  <c r="F47"/>
  <c r="K46"/>
  <c r="J46"/>
  <c r="I46"/>
  <c r="H46"/>
  <c r="G46"/>
  <c r="F46"/>
  <c r="G66"/>
  <c r="B66"/>
  <c r="K65"/>
  <c r="J65"/>
  <c r="I65"/>
  <c r="H65"/>
  <c r="G65"/>
  <c r="F65"/>
  <c r="E65"/>
  <c r="D65"/>
  <c r="C65"/>
  <c r="K64"/>
  <c r="J64"/>
  <c r="I64"/>
  <c r="H64"/>
  <c r="G64"/>
  <c r="F64"/>
  <c r="E64"/>
  <c r="D64"/>
  <c r="C64"/>
  <c r="K63"/>
  <c r="J63"/>
  <c r="I63"/>
  <c r="H63"/>
  <c r="G63"/>
  <c r="F63"/>
  <c r="E63"/>
  <c r="D63"/>
  <c r="C63"/>
  <c r="K62"/>
  <c r="J62"/>
  <c r="I62"/>
  <c r="H62"/>
  <c r="G62"/>
  <c r="F62"/>
  <c r="E62"/>
  <c r="D62"/>
  <c r="C62"/>
  <c r="K61"/>
  <c r="J61"/>
  <c r="I61"/>
  <c r="H61"/>
  <c r="G61"/>
  <c r="F61"/>
  <c r="E61"/>
  <c r="D61"/>
  <c r="C61"/>
  <c r="K60"/>
  <c r="J60"/>
  <c r="I60"/>
  <c r="H60"/>
  <c r="G60"/>
  <c r="F60"/>
  <c r="E60"/>
  <c r="D60"/>
  <c r="C60"/>
  <c r="K43"/>
  <c r="J43"/>
  <c r="I43"/>
  <c r="H43"/>
  <c r="G43"/>
  <c r="F43"/>
  <c r="K42"/>
  <c r="J42"/>
  <c r="I42"/>
  <c r="H42"/>
  <c r="G42"/>
  <c r="F42"/>
  <c r="K41"/>
  <c r="J41"/>
  <c r="I41"/>
  <c r="H41"/>
  <c r="G41"/>
  <c r="F41"/>
  <c r="K40"/>
  <c r="J40"/>
  <c r="I40"/>
  <c r="H40"/>
  <c r="G40"/>
  <c r="F40"/>
  <c r="K39"/>
  <c r="J39"/>
  <c r="I39"/>
  <c r="H39"/>
  <c r="G39"/>
  <c r="F39"/>
  <c r="K38"/>
  <c r="J38"/>
  <c r="I38"/>
  <c r="H38"/>
  <c r="G38"/>
  <c r="F38"/>
  <c r="K30"/>
  <c r="J30"/>
  <c r="I30"/>
  <c r="H30"/>
  <c r="G30"/>
  <c r="F30"/>
  <c r="E30"/>
  <c r="D30"/>
  <c r="C30"/>
  <c r="K29"/>
  <c r="J29"/>
  <c r="I29"/>
  <c r="H29"/>
  <c r="G29"/>
  <c r="F29"/>
  <c r="E29"/>
  <c r="D29"/>
  <c r="C29"/>
  <c r="K28"/>
  <c r="J28"/>
  <c r="I28"/>
  <c r="H28"/>
  <c r="G28"/>
  <c r="F28"/>
  <c r="E28"/>
  <c r="D28"/>
  <c r="C28"/>
  <c r="K27"/>
  <c r="J27"/>
  <c r="I27"/>
  <c r="H27"/>
  <c r="G27"/>
  <c r="F27"/>
  <c r="E27"/>
  <c r="D27"/>
  <c r="C27"/>
  <c r="K26"/>
  <c r="J26"/>
  <c r="I26"/>
  <c r="H26"/>
  <c r="G26"/>
  <c r="F26"/>
  <c r="E26"/>
  <c r="D26"/>
  <c r="C26"/>
  <c r="K25"/>
  <c r="J25"/>
  <c r="I25"/>
  <c r="H25"/>
  <c r="G25"/>
  <c r="F25"/>
  <c r="E25"/>
  <c r="D25"/>
  <c r="C25"/>
  <c r="K23"/>
  <c r="J23"/>
  <c r="I23"/>
  <c r="H23"/>
  <c r="G23"/>
  <c r="F23"/>
  <c r="E23"/>
  <c r="D23"/>
  <c r="C23"/>
  <c r="K22"/>
  <c r="J22"/>
  <c r="I22"/>
  <c r="H22"/>
  <c r="G22"/>
  <c r="F22"/>
  <c r="E22"/>
  <c r="D22"/>
  <c r="C22"/>
  <c r="K21"/>
  <c r="J21"/>
  <c r="I21"/>
  <c r="H21"/>
  <c r="G21"/>
  <c r="F21"/>
  <c r="E21"/>
  <c r="D21"/>
  <c r="C21"/>
  <c r="K20"/>
  <c r="J20"/>
  <c r="I20"/>
  <c r="H20"/>
  <c r="G20"/>
  <c r="F20"/>
  <c r="E20"/>
  <c r="D20"/>
  <c r="C20"/>
  <c r="K19"/>
  <c r="J19"/>
  <c r="I19"/>
  <c r="H19"/>
  <c r="G19"/>
  <c r="F19"/>
  <c r="E19"/>
  <c r="D19"/>
  <c r="C19"/>
  <c r="K18"/>
  <c r="J18"/>
  <c r="I18"/>
  <c r="H18"/>
  <c r="G18"/>
  <c r="F18"/>
  <c r="E18"/>
  <c r="D18"/>
  <c r="C18"/>
  <c r="K16"/>
  <c r="J16"/>
  <c r="I16"/>
  <c r="H16"/>
  <c r="G16"/>
  <c r="F16"/>
  <c r="E16"/>
  <c r="D16"/>
  <c r="C16"/>
  <c r="K15"/>
  <c r="J15"/>
  <c r="I15"/>
  <c r="H15"/>
  <c r="G15"/>
  <c r="F15"/>
  <c r="E15"/>
  <c r="D15"/>
  <c r="C15"/>
  <c r="K14"/>
  <c r="J14"/>
  <c r="I14"/>
  <c r="H14"/>
  <c r="G14"/>
  <c r="F14"/>
  <c r="E14"/>
  <c r="D14"/>
  <c r="C14"/>
  <c r="K13"/>
  <c r="J13"/>
  <c r="I13"/>
  <c r="H13"/>
  <c r="G13"/>
  <c r="F13"/>
  <c r="E13"/>
  <c r="D13"/>
  <c r="C13"/>
  <c r="K12"/>
  <c r="J12"/>
  <c r="I12"/>
  <c r="H12"/>
  <c r="G12"/>
  <c r="F12"/>
  <c r="E12"/>
  <c r="D12"/>
  <c r="C12"/>
  <c r="K11"/>
  <c r="J11"/>
  <c r="I11"/>
  <c r="H11"/>
  <c r="G11"/>
  <c r="F11"/>
  <c r="E11"/>
  <c r="D11"/>
  <c r="C11"/>
  <c r="K8"/>
  <c r="J8"/>
  <c r="I8"/>
  <c r="H8"/>
  <c r="G8"/>
  <c r="F8"/>
  <c r="E8"/>
  <c r="D8"/>
  <c r="C8"/>
  <c r="K7"/>
  <c r="J7"/>
  <c r="I7"/>
  <c r="H7"/>
  <c r="G7"/>
  <c r="F7"/>
  <c r="E7"/>
  <c r="D7"/>
  <c r="C7"/>
  <c r="K6"/>
  <c r="J6"/>
  <c r="I6"/>
  <c r="H6"/>
  <c r="G6"/>
  <c r="F6"/>
  <c r="E6"/>
  <c r="D6"/>
  <c r="C6"/>
  <c r="K5"/>
  <c r="J5"/>
  <c r="I5"/>
  <c r="H5"/>
  <c r="G5"/>
  <c r="F5"/>
  <c r="E5"/>
  <c r="D5"/>
  <c r="C5"/>
  <c r="K4"/>
  <c r="J4"/>
  <c r="I4"/>
  <c r="H4"/>
  <c r="G4"/>
  <c r="F4"/>
  <c r="E4"/>
  <c r="D4"/>
  <c r="C4"/>
  <c r="K3"/>
  <c r="J3"/>
  <c r="I3"/>
  <c r="H3"/>
  <c r="G3"/>
  <c r="F3"/>
  <c r="E3"/>
  <c r="D3"/>
  <c r="C3"/>
  <c r="P17"/>
  <c r="O17"/>
  <c r="P10"/>
  <c r="Q45"/>
  <c r="O45"/>
  <c r="P45"/>
  <c r="Q17"/>
  <c r="Q10"/>
  <c r="P24"/>
  <c r="O24"/>
  <c r="O10"/>
  <c r="Q24"/>
  <c r="K45"/>
  <c r="I17"/>
  <c r="H10"/>
  <c r="I10"/>
  <c r="I45"/>
  <c r="G17"/>
  <c r="D24"/>
  <c r="C17"/>
  <c r="H45"/>
  <c r="F17"/>
  <c r="J17"/>
  <c r="J10"/>
  <c r="F10"/>
  <c r="H24"/>
  <c r="K24"/>
  <c r="H17"/>
  <c r="E24"/>
  <c r="E17"/>
  <c r="D10"/>
  <c r="D17"/>
  <c r="G10"/>
  <c r="G45"/>
  <c r="G24"/>
  <c r="F45"/>
  <c r="J24"/>
  <c r="I24"/>
  <c r="D59"/>
  <c r="C24"/>
  <c r="C10"/>
  <c r="F24"/>
  <c r="C59"/>
  <c r="K17"/>
  <c r="K10"/>
  <c r="J45"/>
  <c r="E59"/>
  <c r="K70"/>
  <c r="E10"/>
  <c r="G68"/>
  <c r="K69"/>
  <c r="G70"/>
  <c r="I68"/>
  <c r="K68"/>
  <c r="I70"/>
  <c r="I69"/>
  <c r="C70" l="1"/>
  <c r="E70"/>
  <c r="D70"/>
  <c r="D33"/>
  <c r="D35" s="1"/>
  <c r="C33"/>
  <c r="C35" s="1"/>
  <c r="E33"/>
  <c r="E35" s="1"/>
  <c r="AC135" i="1"/>
  <c r="Y135"/>
  <c r="AC134"/>
  <c r="Y134"/>
  <c r="AC144"/>
  <c r="Y144"/>
  <c r="AC143"/>
  <c r="Y143"/>
  <c r="AC142"/>
  <c r="Y142"/>
  <c r="AC141"/>
  <c r="Y141"/>
  <c r="AC140"/>
  <c r="Y140"/>
  <c r="AC139"/>
  <c r="Y139"/>
  <c r="AC138"/>
  <c r="Y138"/>
  <c r="AC137"/>
  <c r="Y137"/>
  <c r="AC136"/>
  <c r="AC133"/>
  <c r="AC132"/>
  <c r="AC131"/>
  <c r="AC130"/>
  <c r="AC129"/>
  <c r="Y136"/>
  <c r="Y133"/>
  <c r="Y132"/>
  <c r="Y131"/>
  <c r="Y130"/>
  <c r="Y129"/>
  <c r="G69" i="6"/>
  <c r="G33"/>
  <c r="P68"/>
  <c r="P70"/>
  <c r="P69"/>
  <c r="O68"/>
  <c r="O70"/>
  <c r="O69"/>
  <c r="N68"/>
  <c r="N70"/>
  <c r="G28" i="2" l="1"/>
  <c r="H28"/>
  <c r="I28"/>
  <c r="G34" i="6"/>
  <c r="I35"/>
  <c r="K34"/>
  <c r="K33"/>
  <c r="K35"/>
  <c r="G35"/>
  <c r="I33"/>
  <c r="I34"/>
  <c r="N69"/>
  <c r="N33"/>
  <c r="K2" i="11" l="1"/>
  <c r="B31" i="6"/>
  <c r="P35"/>
  <c r="P34"/>
  <c r="P33"/>
  <c r="O33"/>
  <c r="O35"/>
  <c r="O34"/>
  <c r="N35"/>
  <c r="N34"/>
  <c r="C33" i="11" l="1"/>
  <c r="AC55" i="1"/>
  <c r="AC56"/>
  <c r="AC57"/>
  <c r="AC58"/>
  <c r="AC59"/>
  <c r="AC60"/>
  <c r="AC61"/>
  <c r="AC62"/>
  <c r="AC63"/>
  <c r="Y62"/>
  <c r="Y56"/>
  <c r="Y57"/>
  <c r="B21" i="2"/>
  <c r="D21"/>
  <c r="B20"/>
  <c r="B19"/>
  <c r="B18"/>
  <c r="B17"/>
  <c r="H9"/>
  <c r="D20" l="1"/>
  <c r="D19"/>
  <c r="D18"/>
  <c r="D17"/>
  <c r="B27" i="11"/>
  <c r="C27"/>
  <c r="D27"/>
  <c r="A28"/>
  <c r="A29"/>
  <c r="A30"/>
  <c r="A31"/>
  <c r="A32"/>
  <c r="C21" i="2"/>
  <c r="C20"/>
  <c r="C19"/>
  <c r="C18"/>
  <c r="C17"/>
  <c r="H13"/>
  <c r="G22" s="1"/>
  <c r="B33" i="11" s="1"/>
  <c r="H12" i="2"/>
  <c r="H11"/>
  <c r="H4"/>
  <c r="H5"/>
  <c r="H6"/>
  <c r="H17" s="1"/>
  <c r="C28" i="11" s="1"/>
  <c r="H7" i="2"/>
  <c r="H8"/>
  <c r="I22" s="1"/>
  <c r="D33" i="11" s="1"/>
  <c r="H10" i="2"/>
  <c r="I17" s="1"/>
  <c r="H3"/>
  <c r="G17" s="1"/>
  <c r="I19" l="1"/>
  <c r="G19"/>
  <c r="B30" i="11" s="1"/>
  <c r="I18" i="2"/>
  <c r="G18"/>
  <c r="B29" i="11" s="1"/>
  <c r="I20" i="2"/>
  <c r="G20"/>
  <c r="B31" i="11" s="1"/>
  <c r="I21" i="2"/>
  <c r="D32" i="11" s="1"/>
  <c r="G21" i="2"/>
  <c r="B32" i="11" s="1"/>
  <c r="H20" i="2"/>
  <c r="C31" i="11" s="1"/>
  <c r="H19" i="2"/>
  <c r="C30" i="11" s="1"/>
  <c r="B28"/>
  <c r="D29"/>
  <c r="H21" i="2"/>
  <c r="C32" i="11" s="1"/>
  <c r="D28"/>
  <c r="D31"/>
  <c r="H18" i="2"/>
  <c r="C29" i="11" s="1"/>
  <c r="D30"/>
  <c r="AC533" i="1" l="1"/>
  <c r="AC526" l="1"/>
  <c r="AC13" l="1"/>
  <c r="AC6"/>
  <c r="AC7"/>
  <c r="AC8"/>
  <c r="AC9"/>
  <c r="AC10"/>
  <c r="AC11"/>
  <c r="AC12"/>
  <c r="AC5"/>
  <c r="AC4"/>
  <c r="AC35"/>
  <c r="AC36"/>
  <c r="AC37"/>
  <c r="AC38"/>
  <c r="AC39"/>
  <c r="AC40"/>
  <c r="AC41"/>
  <c r="AC42"/>
  <c r="AC43"/>
  <c r="AC44"/>
  <c r="AC45"/>
  <c r="AC46"/>
  <c r="AC47"/>
  <c r="AC48"/>
  <c r="AC49"/>
  <c r="AC50"/>
  <c r="AC51"/>
  <c r="AC52"/>
  <c r="AC53"/>
  <c r="AC54"/>
  <c r="AC64"/>
  <c r="AC65"/>
  <c r="AC66"/>
  <c r="AC67"/>
  <c r="AC68"/>
  <c r="AC69"/>
  <c r="AC70"/>
  <c r="AC71"/>
  <c r="AC72"/>
  <c r="AC73"/>
  <c r="AC74"/>
  <c r="AC75"/>
  <c r="AC76"/>
  <c r="AC77"/>
  <c r="AC78"/>
  <c r="AC79"/>
  <c r="AC80"/>
  <c r="AC81"/>
  <c r="AC82"/>
  <c r="AC83"/>
  <c r="AC84"/>
  <c r="AC85"/>
  <c r="AC86"/>
  <c r="AC87"/>
  <c r="AC88"/>
  <c r="AC89"/>
  <c r="AC90"/>
  <c r="AC91"/>
  <c r="AC92"/>
  <c r="AC93"/>
  <c r="AC94"/>
  <c r="AC95"/>
  <c r="AC96"/>
  <c r="AC98"/>
  <c r="AC99"/>
  <c r="AC100"/>
  <c r="AC101"/>
  <c r="AC102"/>
  <c r="AC103"/>
  <c r="AC104"/>
  <c r="AC105"/>
  <c r="AC106"/>
  <c r="AC107"/>
  <c r="AC108"/>
  <c r="AC109"/>
  <c r="AC110"/>
  <c r="AC111"/>
  <c r="AC112"/>
  <c r="AC113"/>
  <c r="AC114"/>
  <c r="AC115"/>
  <c r="AC116"/>
  <c r="AC117"/>
  <c r="AC118"/>
  <c r="AC119"/>
  <c r="AC120"/>
  <c r="AC121"/>
  <c r="AC122"/>
  <c r="AC123"/>
  <c r="AC124"/>
  <c r="AC125"/>
  <c r="AC126"/>
  <c r="AC127"/>
  <c r="AC128"/>
  <c r="AC145"/>
  <c r="AC146"/>
  <c r="AC147"/>
  <c r="AC148"/>
  <c r="AC149"/>
  <c r="AC150"/>
  <c r="AC151"/>
  <c r="AC152"/>
  <c r="AC153"/>
  <c r="AC154"/>
  <c r="AC155"/>
  <c r="AC156"/>
  <c r="AC157"/>
  <c r="AC158"/>
  <c r="AC159"/>
  <c r="AC160"/>
  <c r="AC161"/>
  <c r="AC162"/>
  <c r="AC163"/>
  <c r="AC164"/>
  <c r="AC165"/>
  <c r="AC166"/>
  <c r="AC167"/>
  <c r="AC168"/>
  <c r="AC169"/>
  <c r="AC170"/>
  <c r="AC171"/>
  <c r="AC172"/>
  <c r="AC173"/>
  <c r="AC174"/>
  <c r="AC175"/>
  <c r="AC176"/>
  <c r="AC177"/>
  <c r="AC178"/>
  <c r="AC179"/>
  <c r="AC180"/>
  <c r="AC181"/>
  <c r="AC182"/>
  <c r="AC183"/>
  <c r="AC184"/>
  <c r="AC185"/>
  <c r="AC186"/>
  <c r="AC187"/>
  <c r="AC188"/>
  <c r="AC189"/>
  <c r="AC190"/>
  <c r="AC191"/>
  <c r="AC192"/>
  <c r="AC193"/>
  <c r="AC194"/>
  <c r="AC195"/>
  <c r="AC196"/>
  <c r="AC197"/>
  <c r="AC198"/>
  <c r="AC199"/>
  <c r="AC200"/>
  <c r="AC201"/>
  <c r="AC202"/>
  <c r="AC203"/>
  <c r="AC204"/>
  <c r="AC205"/>
  <c r="AC206"/>
  <c r="AC207"/>
  <c r="AC208"/>
  <c r="AC209"/>
  <c r="AC210"/>
  <c r="AC211"/>
  <c r="AC212"/>
  <c r="AC213"/>
  <c r="AC214"/>
  <c r="AC215"/>
  <c r="AC217"/>
  <c r="AC218"/>
  <c r="AC219"/>
  <c r="AC220"/>
  <c r="AC221"/>
  <c r="AC222"/>
  <c r="AC223"/>
  <c r="AC224"/>
  <c r="AC225"/>
  <c r="AC226"/>
  <c r="AC227"/>
  <c r="AC228"/>
  <c r="AC229"/>
  <c r="AC14"/>
  <c r="AC15"/>
  <c r="AC16"/>
  <c r="AC17"/>
  <c r="AC18"/>
  <c r="AC19"/>
  <c r="AC20"/>
  <c r="AC21"/>
  <c r="AC22"/>
  <c r="AC23"/>
  <c r="AC24"/>
  <c r="AC25"/>
  <c r="AC26"/>
  <c r="AC27"/>
  <c r="AC28"/>
  <c r="AC29"/>
  <c r="AC30"/>
  <c r="AC31"/>
  <c r="AC32"/>
  <c r="AC33"/>
  <c r="AC34"/>
  <c r="Y39"/>
  <c r="Y40"/>
  <c r="Y41"/>
  <c r="Y42"/>
  <c r="Y43"/>
  <c r="Y44"/>
  <c r="Y45"/>
  <c r="Y46"/>
  <c r="Y47"/>
  <c r="Y48"/>
  <c r="Y49"/>
  <c r="Y50"/>
  <c r="Y51"/>
  <c r="Y52"/>
  <c r="Y53"/>
  <c r="Y54"/>
  <c r="Y55"/>
  <c r="Y58"/>
  <c r="Y59"/>
  <c r="Y60"/>
  <c r="Y61"/>
  <c r="Y63"/>
  <c r="Y64"/>
  <c r="Y65"/>
  <c r="Y66"/>
  <c r="Y67"/>
  <c r="Y68"/>
  <c r="Y69"/>
  <c r="Y70"/>
  <c r="Y71"/>
  <c r="Y72"/>
  <c r="Y73"/>
  <c r="Y74"/>
  <c r="Y75"/>
  <c r="Y76"/>
  <c r="Y77"/>
  <c r="Y78"/>
  <c r="Y79"/>
  <c r="Y80"/>
  <c r="Y81"/>
  <c r="Y82"/>
  <c r="Y83"/>
  <c r="Y84"/>
  <c r="Y85"/>
  <c r="Y86"/>
  <c r="Y87"/>
  <c r="Y88"/>
  <c r="Y89"/>
  <c r="Y90"/>
  <c r="Y91"/>
  <c r="Y92"/>
  <c r="Y93"/>
  <c r="Y94"/>
  <c r="Y95"/>
  <c r="Y96"/>
  <c r="Y97"/>
  <c r="Y98"/>
  <c r="Y99"/>
  <c r="Y100"/>
  <c r="Y101"/>
  <c r="Y102"/>
  <c r="Y103"/>
  <c r="Y104"/>
  <c r="Y105"/>
  <c r="Y106"/>
  <c r="Y107"/>
  <c r="Y108"/>
  <c r="Y109"/>
  <c r="Y110"/>
  <c r="Y111"/>
  <c r="Y112"/>
  <c r="Y113"/>
  <c r="Y114"/>
  <c r="Y115"/>
  <c r="Y116"/>
  <c r="Y117"/>
  <c r="Y118"/>
  <c r="Y119"/>
  <c r="Y120"/>
  <c r="Y121"/>
  <c r="Y122"/>
  <c r="Y123"/>
  <c r="Y124"/>
  <c r="Y125"/>
  <c r="Y126"/>
  <c r="Y127"/>
  <c r="Y128"/>
  <c r="Y145"/>
  <c r="Y146"/>
  <c r="Y147"/>
  <c r="Y148"/>
  <c r="Y149"/>
  <c r="Y150"/>
  <c r="Y151"/>
  <c r="Y152"/>
  <c r="Y153"/>
  <c r="Y154"/>
  <c r="Y155"/>
  <c r="Y156"/>
  <c r="Y157"/>
  <c r="Y158"/>
  <c r="Y159"/>
  <c r="Y160"/>
  <c r="Y161"/>
  <c r="Y162"/>
  <c r="Y163"/>
  <c r="Y164"/>
  <c r="Y165"/>
  <c r="Y166"/>
  <c r="Y167"/>
  <c r="Y168"/>
  <c r="Y169"/>
  <c r="Y170"/>
  <c r="Y171"/>
  <c r="Y172"/>
  <c r="Y173"/>
  <c r="Y174"/>
  <c r="Y175"/>
  <c r="Y176"/>
  <c r="Y177"/>
  <c r="Y178"/>
  <c r="Y179"/>
  <c r="Y180"/>
  <c r="Y181"/>
  <c r="Y182"/>
  <c r="Y183"/>
  <c r="Y184"/>
  <c r="Y185"/>
  <c r="Y186"/>
  <c r="Y187"/>
  <c r="Y188"/>
  <c r="Y189"/>
  <c r="Y190"/>
  <c r="Y191"/>
  <c r="Y192"/>
  <c r="Y193"/>
  <c r="Y194"/>
  <c r="Y195"/>
  <c r="Y196"/>
  <c r="Y197"/>
  <c r="Y198"/>
  <c r="Y199"/>
  <c r="Y200"/>
  <c r="Y201"/>
  <c r="Y202"/>
  <c r="Y203"/>
  <c r="Y204"/>
  <c r="Y205"/>
  <c r="Y206"/>
  <c r="Y207"/>
  <c r="Y208"/>
  <c r="Y209"/>
  <c r="Y210"/>
  <c r="Y211"/>
  <c r="Y212"/>
  <c r="Y213"/>
  <c r="Y214"/>
  <c r="Y215"/>
  <c r="Y217"/>
  <c r="Y218"/>
  <c r="Y219"/>
  <c r="Y220"/>
  <c r="Y221"/>
  <c r="Y222"/>
  <c r="Y223"/>
  <c r="Y224"/>
  <c r="Y225"/>
  <c r="Y226"/>
  <c r="Y227"/>
  <c r="Y228"/>
  <c r="Y229"/>
  <c r="Y230"/>
  <c r="Y15"/>
  <c r="Y16"/>
  <c r="Y17"/>
  <c r="Y18"/>
  <c r="Y19"/>
  <c r="Y20"/>
  <c r="Y21"/>
  <c r="Y22"/>
  <c r="Y23"/>
  <c r="Y24"/>
  <c r="Y25"/>
  <c r="Y26"/>
  <c r="Y27"/>
  <c r="Y28"/>
  <c r="Y29"/>
  <c r="Y30"/>
  <c r="Y31"/>
  <c r="Y32"/>
  <c r="Y33"/>
  <c r="Y34"/>
  <c r="Y35"/>
  <c r="Y36"/>
  <c r="Y37"/>
  <c r="Y38"/>
  <c r="Y14"/>
  <c r="K5" i="11" l="1"/>
  <c r="L5"/>
  <c r="M5"/>
  <c r="K4"/>
  <c r="L4"/>
  <c r="M4"/>
  <c r="M3"/>
  <c r="L3"/>
  <c r="K3"/>
  <c r="M2"/>
  <c r="L2"/>
  <c r="X2" s="1"/>
  <c r="B19"/>
  <c r="B20"/>
  <c r="B18"/>
  <c r="B16"/>
  <c r="B15"/>
  <c r="G29" l="1"/>
  <c r="X3"/>
  <c r="G28"/>
  <c r="N5"/>
  <c r="O5"/>
  <c r="P5"/>
  <c r="P4"/>
  <c r="O4"/>
  <c r="N4"/>
  <c r="X4" s="1"/>
  <c r="N3"/>
  <c r="O3"/>
  <c r="P3"/>
  <c r="P2"/>
  <c r="O2"/>
  <c r="N2"/>
  <c r="D20"/>
  <c r="D18"/>
  <c r="D14"/>
  <c r="D15"/>
  <c r="D19"/>
  <c r="X5" l="1"/>
  <c r="G31"/>
  <c r="Q5"/>
  <c r="R5"/>
  <c r="S5"/>
  <c r="Q4"/>
  <c r="R4"/>
  <c r="S4"/>
  <c r="S3"/>
  <c r="R3"/>
  <c r="Q3"/>
  <c r="Q2"/>
  <c r="R2"/>
  <c r="S2"/>
  <c r="F16"/>
  <c r="F18"/>
  <c r="F15"/>
  <c r="F14"/>
  <c r="F20"/>
  <c r="F19"/>
  <c r="D22" l="1"/>
  <c r="D23"/>
  <c r="F23" l="1"/>
  <c r="F24"/>
  <c r="B23"/>
  <c r="F22"/>
  <c r="B24"/>
  <c r="D24"/>
  <c r="B22" l="1"/>
</calcChain>
</file>

<file path=xl/comments1.xml><?xml version="1.0" encoding="utf-8"?>
<comments xmlns="http://schemas.openxmlformats.org/spreadsheetml/2006/main">
  <authors>
    <author>Me</author>
  </authors>
  <commentList>
    <comment ref="J2" authorId="0">
      <text>
        <r>
          <rPr>
            <b/>
            <sz val="9"/>
            <color indexed="81"/>
            <rFont val="Tahoma"/>
            <family val="2"/>
          </rPr>
          <t>Me:</t>
        </r>
        <r>
          <rPr>
            <sz val="9"/>
            <color indexed="81"/>
            <rFont val="Tahoma"/>
            <family val="2"/>
          </rPr>
          <t xml:space="preserve">
If the base score doesn't update with the SS colour then select either the SS name or base score and press F2 followed by the Enter key</t>
        </r>
      </text>
    </comment>
  </commentList>
</comments>
</file>

<file path=xl/comments2.xml><?xml version="1.0" encoding="utf-8"?>
<comments xmlns="http://schemas.openxmlformats.org/spreadsheetml/2006/main">
  <authors>
    <author>Me</author>
  </authors>
  <commentList>
    <comment ref="A2" authorId="0">
      <text>
        <r>
          <rPr>
            <b/>
            <sz val="9"/>
            <color indexed="81"/>
            <rFont val="Tahoma"/>
            <family val="2"/>
          </rPr>
          <t>Me:</t>
        </r>
        <r>
          <rPr>
            <sz val="9"/>
            <color indexed="81"/>
            <rFont val="Tahoma"/>
            <family val="2"/>
          </rPr>
          <t xml:space="preserve">
If the base score doesn't update with the SS colour then select either the SS name or base score and press F2 followed by the Enter key</t>
        </r>
      </text>
    </comment>
  </commentList>
</comments>
</file>

<file path=xl/sharedStrings.xml><?xml version="1.0" encoding="utf-8"?>
<sst xmlns="http://schemas.openxmlformats.org/spreadsheetml/2006/main" count="4032" uniqueCount="1219">
  <si>
    <t>Useful info</t>
  </si>
  <si>
    <t>Item</t>
  </si>
  <si>
    <t>Requirement 1</t>
  </si>
  <si>
    <t>Requirement 2</t>
  </si>
  <si>
    <t>Requirement 3</t>
  </si>
  <si>
    <t>Makes 1</t>
  </si>
  <si>
    <t>Makes 2</t>
  </si>
  <si>
    <t>Makes 3</t>
  </si>
  <si>
    <t>Made in</t>
  </si>
  <si>
    <t>Stone</t>
  </si>
  <si>
    <t>Village Centre</t>
  </si>
  <si>
    <t>None</t>
  </si>
  <si>
    <t>Horse</t>
  </si>
  <si>
    <t>Iron</t>
  </si>
  <si>
    <t>Fish</t>
  </si>
  <si>
    <t>Fur</t>
  </si>
  <si>
    <t>Ore</t>
  </si>
  <si>
    <t>Wood</t>
  </si>
  <si>
    <t>Cloth</t>
  </si>
  <si>
    <t>Grain</t>
  </si>
  <si>
    <t>Decorative Blade</t>
  </si>
  <si>
    <t>Smithy</t>
  </si>
  <si>
    <t>Iron x 2</t>
  </si>
  <si>
    <t>Wood x 1</t>
  </si>
  <si>
    <t>Iron x 1</t>
  </si>
  <si>
    <t>Ore x 1</t>
  </si>
  <si>
    <t>Shortsword</t>
  </si>
  <si>
    <t>Wood x 2</t>
  </si>
  <si>
    <t>Longsword</t>
  </si>
  <si>
    <t>Shortsword x 1</t>
  </si>
  <si>
    <t>Dagger</t>
  </si>
  <si>
    <t>Wood x 3</t>
  </si>
  <si>
    <t>Cloth x 1</t>
  </si>
  <si>
    <t>Militia</t>
  </si>
  <si>
    <t>Smallfolk x 1</t>
  </si>
  <si>
    <t>Smallfolk</t>
  </si>
  <si>
    <t>Axe</t>
  </si>
  <si>
    <t>Dagger x 2</t>
  </si>
  <si>
    <t>Iron x 3</t>
  </si>
  <si>
    <t>Broadsword</t>
  </si>
  <si>
    <t>Shortsword x 2</t>
  </si>
  <si>
    <t>Iron x 4</t>
  </si>
  <si>
    <t>Hefty Broadsword</t>
  </si>
  <si>
    <t>Broadsword x 2</t>
  </si>
  <si>
    <t>Steel x 9</t>
  </si>
  <si>
    <t>Hard wood x 5</t>
  </si>
  <si>
    <t>Master Greatsword</t>
  </si>
  <si>
    <t>Hefty Broadsword x 3</t>
  </si>
  <si>
    <t>Steel x 11</t>
  </si>
  <si>
    <t>Hard Wood x 7</t>
  </si>
  <si>
    <t>Eavesdropper</t>
  </si>
  <si>
    <t>Embassy</t>
  </si>
  <si>
    <t>Cloth x 4</t>
  </si>
  <si>
    <t>Fur x 2</t>
  </si>
  <si>
    <t>Milk of the Poppy</t>
  </si>
  <si>
    <t>Grains x 4</t>
  </si>
  <si>
    <t>Fish x 2</t>
  </si>
  <si>
    <t>Linen Clothing</t>
  </si>
  <si>
    <t>Emissary</t>
  </si>
  <si>
    <t>Eavesdropper x 1</t>
  </si>
  <si>
    <t>Silk Garment x 2</t>
  </si>
  <si>
    <t>Fur x 3</t>
  </si>
  <si>
    <t>Dream Wine</t>
  </si>
  <si>
    <t>Milk of the Poppy x 1</t>
  </si>
  <si>
    <t>Grains x 8</t>
  </si>
  <si>
    <t>Fish x 4</t>
  </si>
  <si>
    <t>Silk Garment</t>
  </si>
  <si>
    <t>Linen Clothing x 1</t>
  </si>
  <si>
    <t>Cloth x 8</t>
  </si>
  <si>
    <t>Fur x 4</t>
  </si>
  <si>
    <t>Nightshade</t>
  </si>
  <si>
    <t>Dreamwine x 2</t>
  </si>
  <si>
    <t>Dyed Textile x 7</t>
  </si>
  <si>
    <t>Fine Wood x 7</t>
  </si>
  <si>
    <t>Delicate Silk Garment</t>
  </si>
  <si>
    <t>Dyed Textile x 10</t>
  </si>
  <si>
    <t>Precious Ore x 4</t>
  </si>
  <si>
    <t>Trader</t>
  </si>
  <si>
    <t>Market</t>
  </si>
  <si>
    <t>Merchant</t>
  </si>
  <si>
    <t>Trader x 1</t>
  </si>
  <si>
    <t>Leatherbound x 1</t>
  </si>
  <si>
    <t>Silver Chain x 1</t>
  </si>
  <si>
    <t>Silver Brooch</t>
  </si>
  <si>
    <t>Ore x 4</t>
  </si>
  <si>
    <t>Leather Bound Book</t>
  </si>
  <si>
    <t>Cloth x 2</t>
  </si>
  <si>
    <t>Silver Chain</t>
  </si>
  <si>
    <t>Ore x 3</t>
  </si>
  <si>
    <t>Fur x 1</t>
  </si>
  <si>
    <t>Gold Ring</t>
  </si>
  <si>
    <t>Ore x 5</t>
  </si>
  <si>
    <t>Alloy Chain</t>
  </si>
  <si>
    <t>Silver Chain x 5</t>
  </si>
  <si>
    <t>Lead x 10</t>
  </si>
  <si>
    <t>Precious Ore x 10</t>
  </si>
  <si>
    <t>Alloy Pendant</t>
  </si>
  <si>
    <t>Gold Necklace x 2</t>
  </si>
  <si>
    <t>Precious Ore x 9</t>
  </si>
  <si>
    <t>Lead x 5</t>
  </si>
  <si>
    <t>Fresh Baked Bread</t>
  </si>
  <si>
    <t>Sept</t>
  </si>
  <si>
    <t>Grains x 2</t>
  </si>
  <si>
    <t>Devout</t>
  </si>
  <si>
    <t>Fish x 5</t>
  </si>
  <si>
    <t>Intrigue Boon</t>
  </si>
  <si>
    <t>Grain x 2</t>
  </si>
  <si>
    <t>Trade Boon</t>
  </si>
  <si>
    <t>Ore x 2</t>
  </si>
  <si>
    <t>Battle Boon</t>
  </si>
  <si>
    <t>Septa</t>
  </si>
  <si>
    <t>Devout x 1</t>
  </si>
  <si>
    <t>Wood Shield x 1</t>
  </si>
  <si>
    <t>Silver Brooch x 1</t>
  </si>
  <si>
    <t>Ceremonial Dagger</t>
  </si>
  <si>
    <t>Steel x 5</t>
  </si>
  <si>
    <t>Precious Ore x 6</t>
  </si>
  <si>
    <t>Mead</t>
  </si>
  <si>
    <t>Godswood</t>
  </si>
  <si>
    <t>Oracle x 1</t>
  </si>
  <si>
    <t>Grains x 3</t>
  </si>
  <si>
    <t>Stone x 1</t>
  </si>
  <si>
    <t>Common Boon</t>
  </si>
  <si>
    <t>Fish x 1</t>
  </si>
  <si>
    <t>Grains x 1</t>
  </si>
  <si>
    <t>Uncommon Boon</t>
  </si>
  <si>
    <t>Seer</t>
  </si>
  <si>
    <t>Woods Witch</t>
  </si>
  <si>
    <t>Seer x 1</t>
  </si>
  <si>
    <t>Dagger x 1</t>
  </si>
  <si>
    <t>Rare Boon</t>
  </si>
  <si>
    <t>Stone x 4</t>
  </si>
  <si>
    <t>Forest Armour</t>
  </si>
  <si>
    <t>Weirwood x 5</t>
  </si>
  <si>
    <t>Breastplate x 2</t>
  </si>
  <si>
    <t>R'hllor Temple</t>
  </si>
  <si>
    <t>Nettle Poultice</t>
  </si>
  <si>
    <t>Fish x 3</t>
  </si>
  <si>
    <t>Red Robe</t>
  </si>
  <si>
    <t>Cloth x 3</t>
  </si>
  <si>
    <t>Incense</t>
  </si>
  <si>
    <t>Black Ash x 1</t>
  </si>
  <si>
    <t>Pure Water x 1</t>
  </si>
  <si>
    <t>Fine Wood x 1</t>
  </si>
  <si>
    <t>Asshai Book</t>
  </si>
  <si>
    <t>Longsword x 1</t>
  </si>
  <si>
    <t>Offering</t>
  </si>
  <si>
    <t>Ceremonial Bowl x 3</t>
  </si>
  <si>
    <t>Ceremonial Dagger x 2</t>
  </si>
  <si>
    <t>Sacrifice x 9</t>
  </si>
  <si>
    <t>Red Priest</t>
  </si>
  <si>
    <t>Red Robe x 2</t>
  </si>
  <si>
    <t>Smallfolk x 2</t>
  </si>
  <si>
    <t>Defense Boon</t>
  </si>
  <si>
    <t>Horse x 2</t>
  </si>
  <si>
    <t>Chance of Pyre</t>
  </si>
  <si>
    <t>Hard Wood x 2</t>
  </si>
  <si>
    <t>Fine Wood x 2</t>
  </si>
  <si>
    <t>Wildfire x 1</t>
  </si>
  <si>
    <t>Attack Boon</t>
  </si>
  <si>
    <t>Smallfolk x 3</t>
  </si>
  <si>
    <t>Oracle</t>
  </si>
  <si>
    <t>Red Priest x 1</t>
  </si>
  <si>
    <t>Woods Witch x 1</t>
  </si>
  <si>
    <t>Septa x 1</t>
  </si>
  <si>
    <t>Shadowbinder Mask</t>
  </si>
  <si>
    <t>Dyed Textile x 8</t>
  </si>
  <si>
    <t>Precious Ore x 5</t>
  </si>
  <si>
    <t>Red Priest x 2</t>
  </si>
  <si>
    <t>Shadow Mask</t>
  </si>
  <si>
    <t>Holdfast</t>
  </si>
  <si>
    <t>Doublet</t>
  </si>
  <si>
    <t>Leather Armour</t>
  </si>
  <si>
    <t>Doublet x 1</t>
  </si>
  <si>
    <t>Scale Armour</t>
  </si>
  <si>
    <t>Jerkin</t>
  </si>
  <si>
    <t>Doublet x 2</t>
  </si>
  <si>
    <t>Splint Mail</t>
  </si>
  <si>
    <t>Scale Armour x 2</t>
  </si>
  <si>
    <t>Pikeman</t>
  </si>
  <si>
    <t>Militia x 3</t>
  </si>
  <si>
    <t>Pike x 3</t>
  </si>
  <si>
    <t>Grand Shield</t>
  </si>
  <si>
    <t>Metal Shield x 2</t>
  </si>
  <si>
    <t>Steel x 8</t>
  </si>
  <si>
    <t>Masterwork Splint Mail</t>
  </si>
  <si>
    <t>Splint Mail x 2</t>
  </si>
  <si>
    <t>Dyed Textile x 5</t>
  </si>
  <si>
    <t>Masterwork Splint</t>
  </si>
  <si>
    <t>Workshop</t>
  </si>
  <si>
    <t>Roughspun Cloak</t>
  </si>
  <si>
    <t>Dirk</t>
  </si>
  <si>
    <t>Saboteur</t>
  </si>
  <si>
    <t>Satin Cloak x 1</t>
  </si>
  <si>
    <t>Blindeye x 1</t>
  </si>
  <si>
    <t>Satin Cloak</t>
  </si>
  <si>
    <t>Roughspun Cloak x 1</t>
  </si>
  <si>
    <t>Fur x 8</t>
  </si>
  <si>
    <t>Blindeye</t>
  </si>
  <si>
    <t>Dirk x 1</t>
  </si>
  <si>
    <t>Cart of Tools</t>
  </si>
  <si>
    <t>Cart x 1</t>
  </si>
  <si>
    <t>Dirk x 3</t>
  </si>
  <si>
    <t>Blindeye x 3</t>
  </si>
  <si>
    <t>Delicate Satin Cloak</t>
  </si>
  <si>
    <t>Satin Cloak x 2</t>
  </si>
  <si>
    <t>Lead x 4</t>
  </si>
  <si>
    <t>Widow's Blood</t>
  </si>
  <si>
    <t>Blindeye x 2</t>
  </si>
  <si>
    <t>Lead x 7</t>
  </si>
  <si>
    <t>Velium Scroll</t>
  </si>
  <si>
    <t>Treasury</t>
  </si>
  <si>
    <t>Parchment Scroll x 1</t>
  </si>
  <si>
    <t>Cloth x 6</t>
  </si>
  <si>
    <t>Bill of Sale</t>
  </si>
  <si>
    <t>Coinage x 1</t>
  </si>
  <si>
    <t>Lockbox</t>
  </si>
  <si>
    <t>Purse x 1</t>
  </si>
  <si>
    <t>Ore x 6</t>
  </si>
  <si>
    <t>Makes 4</t>
  </si>
  <si>
    <t>Makes 5</t>
  </si>
  <si>
    <t>Gold Torc</t>
  </si>
  <si>
    <t>Silver Torc x 1</t>
  </si>
  <si>
    <t>Gold Ring x 1</t>
  </si>
  <si>
    <t>Gold Bracelet</t>
  </si>
  <si>
    <t>Silver Bracelet x 1</t>
  </si>
  <si>
    <t>Ore x 7</t>
  </si>
  <si>
    <t>Gold Necklace</t>
  </si>
  <si>
    <t>Silver Necklace x 1</t>
  </si>
  <si>
    <t>Secure Lockbox</t>
  </si>
  <si>
    <t>Lockbox x 2</t>
  </si>
  <si>
    <t>Dark Diamond Ring</t>
  </si>
  <si>
    <t>Gold Ring x 6</t>
  </si>
  <si>
    <t>Steel x 4</t>
  </si>
  <si>
    <t>Reliquary</t>
  </si>
  <si>
    <t>Horseman</t>
  </si>
  <si>
    <t>Horse x 3</t>
  </si>
  <si>
    <t>Horse Archer</t>
  </si>
  <si>
    <t>Horseman x 2</t>
  </si>
  <si>
    <t>Composite Bow x 2</t>
  </si>
  <si>
    <t>Arakh</t>
  </si>
  <si>
    <t>Broadsword x 1</t>
  </si>
  <si>
    <t>Axe x 1</t>
  </si>
  <si>
    <t>Longsword x 2</t>
  </si>
  <si>
    <t>Embroidered Tunic</t>
  </si>
  <si>
    <t>Cloth x 9</t>
  </si>
  <si>
    <t>Receipt</t>
  </si>
  <si>
    <t>Bill of Sale x 2</t>
  </si>
  <si>
    <t>Horse x 6</t>
  </si>
  <si>
    <t>Filigreed Tunic</t>
  </si>
  <si>
    <t>Embroidered Tunic x 3</t>
  </si>
  <si>
    <t>Precious Ore x 20</t>
  </si>
  <si>
    <t>Deposit</t>
  </si>
  <si>
    <t>Receipt x 3</t>
  </si>
  <si>
    <t>Dyed Textile x 15</t>
  </si>
  <si>
    <t>Fine Wood x 15</t>
  </si>
  <si>
    <t>Chance of Baby Dragon</t>
  </si>
  <si>
    <t>Dragon Egg x 1</t>
  </si>
  <si>
    <t>Pyre x 5</t>
  </si>
  <si>
    <t>Dragon Horn x 1</t>
  </si>
  <si>
    <t>Feast</t>
  </si>
  <si>
    <t>Fool</t>
  </si>
  <si>
    <t>Mummer</t>
  </si>
  <si>
    <t>Fool x 2</t>
  </si>
  <si>
    <t>Wood x 7</t>
  </si>
  <si>
    <t>Cloth x 7</t>
  </si>
  <si>
    <t>Warhammer</t>
  </si>
  <si>
    <t>Iron x 8</t>
  </si>
  <si>
    <t>Wood x 6</t>
  </si>
  <si>
    <t>Pocketed Belt</t>
  </si>
  <si>
    <t>Woven Belt x 2</t>
  </si>
  <si>
    <t>Cloth x 12</t>
  </si>
  <si>
    <t>Moonstone Brooch</t>
  </si>
  <si>
    <t>Silver Brooch x 4</t>
  </si>
  <si>
    <t>Silver Chain x 3</t>
  </si>
  <si>
    <t>Ore x 8</t>
  </si>
  <si>
    <t>Parade Mummer</t>
  </si>
  <si>
    <t>Mummer x 2</t>
  </si>
  <si>
    <t>Lead x 6</t>
  </si>
  <si>
    <t>Heavy Warhammer</t>
  </si>
  <si>
    <t>Warhammer x 3</t>
  </si>
  <si>
    <t>Lead x 25</t>
  </si>
  <si>
    <t>Aurochs</t>
  </si>
  <si>
    <t>Grains x 18</t>
  </si>
  <si>
    <t>Pure Water x 3</t>
  </si>
  <si>
    <t>Horse x 12</t>
  </si>
  <si>
    <t>Shipyard</t>
  </si>
  <si>
    <t>Sailor</t>
  </si>
  <si>
    <t>Ship</t>
  </si>
  <si>
    <t>Wood x 10</t>
  </si>
  <si>
    <t>Cloth x 5</t>
  </si>
  <si>
    <t>Sailor x 3</t>
  </si>
  <si>
    <t>Surcoat</t>
  </si>
  <si>
    <t>Jerkin x 2</t>
  </si>
  <si>
    <t>Fur x 7</t>
  </si>
  <si>
    <t>Poisoned Ring</t>
  </si>
  <si>
    <t>Dreamwine x 1</t>
  </si>
  <si>
    <t>Gold Ring x 3</t>
  </si>
  <si>
    <t>Makes 6</t>
  </si>
  <si>
    <t>Reaving Ship</t>
  </si>
  <si>
    <t>Ship x 1</t>
  </si>
  <si>
    <t>Grand Cuirass</t>
  </si>
  <si>
    <t>Surcoat x 3</t>
  </si>
  <si>
    <t>Steel x 20</t>
  </si>
  <si>
    <t>Elite Reaving Ship</t>
  </si>
  <si>
    <t>Reaving Ship x 3</t>
  </si>
  <si>
    <t>Steel x 17</t>
  </si>
  <si>
    <t>Lead x 13</t>
  </si>
  <si>
    <t>Dragon Horn</t>
  </si>
  <si>
    <t>Great Horn x 1</t>
  </si>
  <si>
    <t>Valyrian Glyphs x 10</t>
  </si>
  <si>
    <t>Jeweled Armour x 1</t>
  </si>
  <si>
    <t>Mine</t>
  </si>
  <si>
    <t>Jeweler</t>
  </si>
  <si>
    <t>Red Gem</t>
  </si>
  <si>
    <t>Ore x 10</t>
  </si>
  <si>
    <t>Stone x 5</t>
  </si>
  <si>
    <t>Silk Gloves</t>
  </si>
  <si>
    <t>Moleskin Gloves x 2</t>
  </si>
  <si>
    <t>Fur x 5</t>
  </si>
  <si>
    <t>Moonstone Torc</t>
  </si>
  <si>
    <t>Gold Torc x 2</t>
  </si>
  <si>
    <t>Sweetsleep</t>
  </si>
  <si>
    <t>Grains x 11</t>
  </si>
  <si>
    <t>Alloyed Torc</t>
  </si>
  <si>
    <t>Moonstone Torc x 3</t>
  </si>
  <si>
    <t>Jeweled Armour</t>
  </si>
  <si>
    <t>Forest Armour x 2</t>
  </si>
  <si>
    <t>Sparkling Jewel x 10</t>
  </si>
  <si>
    <t>Steel x 15</t>
  </si>
  <si>
    <t>Hunting Lodge</t>
  </si>
  <si>
    <t>Tracker</t>
  </si>
  <si>
    <t>Hunter</t>
  </si>
  <si>
    <t>Tracker x 1</t>
  </si>
  <si>
    <t>Shortbow x 1</t>
  </si>
  <si>
    <t>Woven belt x 1</t>
  </si>
  <si>
    <t>Cuirass</t>
  </si>
  <si>
    <t>Iron x 12</t>
  </si>
  <si>
    <t>Fur Trimmed Cloak</t>
  </si>
  <si>
    <t>Longbow</t>
  </si>
  <si>
    <t>Taut Longbow</t>
  </si>
  <si>
    <t>Longbow x 3</t>
  </si>
  <si>
    <t>Hard Wood x 15</t>
  </si>
  <si>
    <t>Warm Fur Lined Cloak</t>
  </si>
  <si>
    <t>Fur Trimmed x 3</t>
  </si>
  <si>
    <t>Dyed Textile x 20</t>
  </si>
  <si>
    <t>Great Horn</t>
  </si>
  <si>
    <t>Aurochs x 2</t>
  </si>
  <si>
    <t>Forest Armour x 1</t>
  </si>
  <si>
    <t>Crystal Sword x 3</t>
  </si>
  <si>
    <t>Siege Works</t>
  </si>
  <si>
    <t>Ladder</t>
  </si>
  <si>
    <t>Trebuchet</t>
  </si>
  <si>
    <t>Stone x 2</t>
  </si>
  <si>
    <t>Turtle</t>
  </si>
  <si>
    <t>Ram</t>
  </si>
  <si>
    <t>Turtle x 1</t>
  </si>
  <si>
    <t>Iron x 6</t>
  </si>
  <si>
    <t>Catapult</t>
  </si>
  <si>
    <t>Trebuchet x 2</t>
  </si>
  <si>
    <t>Scorpion</t>
  </si>
  <si>
    <t>Grains x 6</t>
  </si>
  <si>
    <t>Siege Tower</t>
  </si>
  <si>
    <t>Ram x 1</t>
  </si>
  <si>
    <t>Ladder x  1</t>
  </si>
  <si>
    <t>Smallfolk x 14</t>
  </si>
  <si>
    <t>Mangonel</t>
  </si>
  <si>
    <t>Catapult x 2</t>
  </si>
  <si>
    <t>Stone x 10</t>
  </si>
  <si>
    <t>Spitfire</t>
  </si>
  <si>
    <t>Scorpion x 2</t>
  </si>
  <si>
    <t>Manacles</t>
  </si>
  <si>
    <t>Lead x 2</t>
  </si>
  <si>
    <t>Valuable Prisoner</t>
  </si>
  <si>
    <t>Manacles x 1</t>
  </si>
  <si>
    <t>Saboteur x 1</t>
  </si>
  <si>
    <t>Smallfolk x 12</t>
  </si>
  <si>
    <t>Practice Yard</t>
  </si>
  <si>
    <t>Shortbow</t>
  </si>
  <si>
    <t>Halfhelm</t>
  </si>
  <si>
    <t>Iron x 5</t>
  </si>
  <si>
    <t>Barred Helm</t>
  </si>
  <si>
    <t>Halfhelm x 2</t>
  </si>
  <si>
    <t>Bowman</t>
  </si>
  <si>
    <t>Shortbow x 3</t>
  </si>
  <si>
    <t>Militia x 2</t>
  </si>
  <si>
    <t>Composite Bow</t>
  </si>
  <si>
    <t>Shortbow x 2</t>
  </si>
  <si>
    <t>Archer</t>
  </si>
  <si>
    <t>Bowman x 2</t>
  </si>
  <si>
    <t>Partisan</t>
  </si>
  <si>
    <t>Pike x 2</t>
  </si>
  <si>
    <t>Hard Wood x 9</t>
  </si>
  <si>
    <t>Taut Composite Bow</t>
  </si>
  <si>
    <t>Hard Wood x 8</t>
  </si>
  <si>
    <t>Fine Wood x 6</t>
  </si>
  <si>
    <t>Shanty</t>
  </si>
  <si>
    <t>Fingerless Gloves</t>
  </si>
  <si>
    <t>Leather Belt</t>
  </si>
  <si>
    <t>Thief</t>
  </si>
  <si>
    <t>Grains x 5</t>
  </si>
  <si>
    <t>Woven Belt</t>
  </si>
  <si>
    <t>Moleskin Gloves</t>
  </si>
  <si>
    <t>Fingerless Gloves x 1</t>
  </si>
  <si>
    <t>Fur x 6</t>
  </si>
  <si>
    <t>Leather Belt x 1</t>
  </si>
  <si>
    <t>Cloth x 10</t>
  </si>
  <si>
    <t>Courtesan</t>
  </si>
  <si>
    <t>Thief x 1</t>
  </si>
  <si>
    <t>Moleskin Gloves x 1</t>
  </si>
  <si>
    <t>Wolfsbane</t>
  </si>
  <si>
    <t>Fine Wood x 14</t>
  </si>
  <si>
    <t>Madam</t>
  </si>
  <si>
    <t>Courtesan x 3</t>
  </si>
  <si>
    <t>Precious Ore x 15</t>
  </si>
  <si>
    <t>Warehouse</t>
  </si>
  <si>
    <t>Parchment Scroll</t>
  </si>
  <si>
    <t>Coinage</t>
  </si>
  <si>
    <t>Makes 7</t>
  </si>
  <si>
    <t>Silver Necklace</t>
  </si>
  <si>
    <t>Cart</t>
  </si>
  <si>
    <t>Wood x 5</t>
  </si>
  <si>
    <t>Wagon</t>
  </si>
  <si>
    <t>Caravan</t>
  </si>
  <si>
    <t>Horse x 1</t>
  </si>
  <si>
    <t>Fish x 6</t>
  </si>
  <si>
    <t>Wagon x 3</t>
  </si>
  <si>
    <t>Merchant x 3</t>
  </si>
  <si>
    <t>Alloy Bracelet</t>
  </si>
  <si>
    <t>Gold Bracelet x 2</t>
  </si>
  <si>
    <t>Lead x 8</t>
  </si>
  <si>
    <t>Alloy Necklace</t>
  </si>
  <si>
    <t>Artisan Quarters</t>
  </si>
  <si>
    <t>Purse</t>
  </si>
  <si>
    <t>Silver Bracelet</t>
  </si>
  <si>
    <t>Silver Torc</t>
  </si>
  <si>
    <t>Mercer</t>
  </si>
  <si>
    <t>Merchant x 6</t>
  </si>
  <si>
    <t>Spicer</t>
  </si>
  <si>
    <t>Furrier</t>
  </si>
  <si>
    <t>Master Mercer</t>
  </si>
  <si>
    <t>Master Spicer</t>
  </si>
  <si>
    <t>Master Furrier</t>
  </si>
  <si>
    <t>Mercer x 3</t>
  </si>
  <si>
    <t>Spicer x 3</t>
  </si>
  <si>
    <t>Fine Wood x 20</t>
  </si>
  <si>
    <t>Furrier x 3</t>
  </si>
  <si>
    <t>Lead x 20</t>
  </si>
  <si>
    <t>Armory</t>
  </si>
  <si>
    <t>Shield Bearers</t>
  </si>
  <si>
    <t>Pike</t>
  </si>
  <si>
    <t>Wood x 4</t>
  </si>
  <si>
    <t>Wood Shield</t>
  </si>
  <si>
    <t>Metal Shield</t>
  </si>
  <si>
    <t>Wood Shield x 2</t>
  </si>
  <si>
    <t>Breastplate</t>
  </si>
  <si>
    <t>Leather Armour x 2</t>
  </si>
  <si>
    <t>Phalanx</t>
  </si>
  <si>
    <t>Shield Bearers x 2</t>
  </si>
  <si>
    <t>Pikeman x 2</t>
  </si>
  <si>
    <t>Halfhelm x 4</t>
  </si>
  <si>
    <t>Grand Breastplate</t>
  </si>
  <si>
    <t>Elite Phalanx</t>
  </si>
  <si>
    <t>Phalanx x 3</t>
  </si>
  <si>
    <t>Hard Wood x 10</t>
  </si>
  <si>
    <t>Watchtower</t>
  </si>
  <si>
    <t>Unremarkable Tunic</t>
  </si>
  <si>
    <t>Light Crossbow</t>
  </si>
  <si>
    <t>Crossbowman</t>
  </si>
  <si>
    <t>Light Crossbow x 3</t>
  </si>
  <si>
    <t>Guards Uniform</t>
  </si>
  <si>
    <t>Unremarkable Tunic x 1</t>
  </si>
  <si>
    <t>Heavy Crossbow</t>
  </si>
  <si>
    <t>Light Crossbow x 1</t>
  </si>
  <si>
    <t>Assassin</t>
  </si>
  <si>
    <t>Heavy Crossbow x 1</t>
  </si>
  <si>
    <t>Guards Uniform x 1</t>
  </si>
  <si>
    <t>Expert Crossbowman</t>
  </si>
  <si>
    <t>Crossbowman x 1</t>
  </si>
  <si>
    <t>Hard Wood x 14</t>
  </si>
  <si>
    <t>Guild Assassin</t>
  </si>
  <si>
    <t>Assassin x 3</t>
  </si>
  <si>
    <t>Stables</t>
  </si>
  <si>
    <t>Ostler</t>
  </si>
  <si>
    <t>Blue Gem</t>
  </si>
  <si>
    <t>Peddler x 2</t>
  </si>
  <si>
    <t>Warhorse</t>
  </si>
  <si>
    <t>Ostler x 1</t>
  </si>
  <si>
    <t>Leather Armour x 1</t>
  </si>
  <si>
    <t>Harrier</t>
  </si>
  <si>
    <t>Militia x 1</t>
  </si>
  <si>
    <t>Scout</t>
  </si>
  <si>
    <t>Peddler</t>
  </si>
  <si>
    <t>Steel Shod Warhorse</t>
  </si>
  <si>
    <t>Warhorse x 2</t>
  </si>
  <si>
    <t>Mounted Escort</t>
  </si>
  <si>
    <t>Harrier x 3</t>
  </si>
  <si>
    <t>Scout x 3</t>
  </si>
  <si>
    <t>Tourny Area</t>
  </si>
  <si>
    <t>Foot Soldiers</t>
  </si>
  <si>
    <t>Armored Knight</t>
  </si>
  <si>
    <t>Mounted Knight</t>
  </si>
  <si>
    <t>Lancer</t>
  </si>
  <si>
    <t>Heavy Knight</t>
  </si>
  <si>
    <t>Grand Barred Helm</t>
  </si>
  <si>
    <t>Elite Cavalryman</t>
  </si>
  <si>
    <t>Foot Soldiers x 1</t>
  </si>
  <si>
    <t>Breastplate x 1</t>
  </si>
  <si>
    <t>Barred Helm x 1</t>
  </si>
  <si>
    <t>Armored Knight x 1</t>
  </si>
  <si>
    <t>Warhorse x 1</t>
  </si>
  <si>
    <t>Pike x 1</t>
  </si>
  <si>
    <t>Silk Garment x 1</t>
  </si>
  <si>
    <t>Mounted Knight x 1</t>
  </si>
  <si>
    <t>Gold Torc x 1</t>
  </si>
  <si>
    <t>Lancer x 1</t>
  </si>
  <si>
    <t>Metal Shield x 1</t>
  </si>
  <si>
    <t>Barred Helm x 2</t>
  </si>
  <si>
    <t>Heavy Knight x 1</t>
  </si>
  <si>
    <t>Master Greatsword x 1</t>
  </si>
  <si>
    <t>Steel Shod Warhorse x 1</t>
  </si>
  <si>
    <t>Alchemists Guild</t>
  </si>
  <si>
    <t>Fire Archer</t>
  </si>
  <si>
    <t>Archer x 1</t>
  </si>
  <si>
    <t>Smuggling Vessel</t>
  </si>
  <si>
    <t>Wood x 17</t>
  </si>
  <si>
    <t>Thief x 4</t>
  </si>
  <si>
    <t>Pure Water</t>
  </si>
  <si>
    <t>Mead x 1</t>
  </si>
  <si>
    <t>Blazing Fire Archer</t>
  </si>
  <si>
    <t>Fire Archer x 3</t>
  </si>
  <si>
    <t>Flickering Fire x 3</t>
  </si>
  <si>
    <t>Hard Wood x 12</t>
  </si>
  <si>
    <t>Sparkling Jewel</t>
  </si>
  <si>
    <t>Black Ash x 6</t>
  </si>
  <si>
    <t>Wildfire</t>
  </si>
  <si>
    <t>Pure Water x 2</t>
  </si>
  <si>
    <t>Flickering Fire x 2</t>
  </si>
  <si>
    <t>Chance of Wildfire</t>
  </si>
  <si>
    <t>Chance of Fireship</t>
  </si>
  <si>
    <t>Wildfire x 8</t>
  </si>
  <si>
    <t>Smuggling Vessel x 2</t>
  </si>
  <si>
    <t>Fire Archer x 2</t>
  </si>
  <si>
    <t>Uncommon Resource</t>
  </si>
  <si>
    <t>Rashers of Bacon x 1</t>
  </si>
  <si>
    <t>Chance of Dragon Egg</t>
  </si>
  <si>
    <t>Dormant Dragon Egg x 1</t>
  </si>
  <si>
    <t>Offering x 1</t>
  </si>
  <si>
    <t>Incense x 7</t>
  </si>
  <si>
    <t>Steel</t>
  </si>
  <si>
    <t>Hard Wood</t>
  </si>
  <si>
    <t>Precious Ore</t>
  </si>
  <si>
    <t>Fine Wood</t>
  </si>
  <si>
    <t>Dyed Textiles</t>
  </si>
  <si>
    <t>Lead</t>
  </si>
  <si>
    <t>Ceremonial Bowl</t>
  </si>
  <si>
    <t>Sacrifice</t>
  </si>
  <si>
    <t>Shop</t>
  </si>
  <si>
    <t>Crystal Sword</t>
  </si>
  <si>
    <t>Varyrian Glyphs</t>
  </si>
  <si>
    <t>Makes 8</t>
  </si>
  <si>
    <t>Battle</t>
  </si>
  <si>
    <t>Trade</t>
  </si>
  <si>
    <t>Intrigue</t>
  </si>
  <si>
    <t>Type</t>
  </si>
  <si>
    <t>Hand</t>
  </si>
  <si>
    <t>Attack</t>
  </si>
  <si>
    <t>Unit</t>
  </si>
  <si>
    <t>3% Harass</t>
  </si>
  <si>
    <t>3% Fight</t>
  </si>
  <si>
    <t>Body</t>
  </si>
  <si>
    <t>Defend</t>
  </si>
  <si>
    <t>Both</t>
  </si>
  <si>
    <t>3% Spy</t>
  </si>
  <si>
    <t>Food</t>
  </si>
  <si>
    <t>Boon</t>
  </si>
  <si>
    <t>Drink</t>
  </si>
  <si>
    <t>Medicine</t>
  </si>
  <si>
    <t>7% Spy</t>
  </si>
  <si>
    <t>7% Bribe</t>
  </si>
  <si>
    <t>3% Sabotage</t>
  </si>
  <si>
    <t>3% Barter</t>
  </si>
  <si>
    <t>3% Swindle</t>
  </si>
  <si>
    <t>3% Bribe</t>
  </si>
  <si>
    <t>7% Aid</t>
  </si>
  <si>
    <t>7% Steal</t>
  </si>
  <si>
    <t>Bonus</t>
  </si>
  <si>
    <t>End of line</t>
  </si>
  <si>
    <t>3% Aid</t>
  </si>
  <si>
    <t>3% Steal</t>
  </si>
  <si>
    <t>Buy Price</t>
  </si>
  <si>
    <t>Sell Price</t>
  </si>
  <si>
    <t>Produce</t>
  </si>
  <si>
    <t>7% Sabotage</t>
  </si>
  <si>
    <t>Simple Ring</t>
  </si>
  <si>
    <t>Quantity</t>
  </si>
  <si>
    <t>Greycap</t>
  </si>
  <si>
    <t>Garnet Ring</t>
  </si>
  <si>
    <t>Throwing Knife</t>
  </si>
  <si>
    <t>The Strangler</t>
  </si>
  <si>
    <t>Emerald Ring</t>
  </si>
  <si>
    <t>Writ of Passage</t>
  </si>
  <si>
    <t>Biting Blade</t>
  </si>
  <si>
    <t>Tough Shirt</t>
  </si>
  <si>
    <t>Unremarkable Hat</t>
  </si>
  <si>
    <t>Midnight Cloak</t>
  </si>
  <si>
    <t>Fur Lined Boots</t>
  </si>
  <si>
    <t>Broad Hood</t>
  </si>
  <si>
    <t>Cotton Hood</t>
  </si>
  <si>
    <t>Champions Greathelm</t>
  </si>
  <si>
    <t>Gold Chain</t>
  </si>
  <si>
    <t>Gold Pendant</t>
  </si>
  <si>
    <t>Chain Mail</t>
  </si>
  <si>
    <t>Saltwater Surcoat</t>
  </si>
  <si>
    <t>Matching Bracelet</t>
  </si>
  <si>
    <t>Swamp Coat</t>
  </si>
  <si>
    <t>Boiled Leather</t>
  </si>
  <si>
    <t>Poisoned Stiletto</t>
  </si>
  <si>
    <t>Heavy Coinage</t>
  </si>
  <si>
    <t>Margin</t>
  </si>
  <si>
    <t>Fullhelm</t>
  </si>
  <si>
    <t>Fight</t>
  </si>
  <si>
    <t>Harass</t>
  </si>
  <si>
    <t>Aid</t>
  </si>
  <si>
    <t>Barter</t>
  </si>
  <si>
    <t>Swindle</t>
  </si>
  <si>
    <t>Steal</t>
  </si>
  <si>
    <t>Spy</t>
  </si>
  <si>
    <t>Bribe</t>
  </si>
  <si>
    <t>Sabotage</t>
  </si>
  <si>
    <t>SS</t>
  </si>
  <si>
    <t>Base</t>
  </si>
  <si>
    <t>Level</t>
  </si>
  <si>
    <t>Rank</t>
  </si>
  <si>
    <t>Bonuses</t>
  </si>
  <si>
    <t>Total</t>
  </si>
  <si>
    <t>I</t>
  </si>
  <si>
    <t>Grand Throwing Knife</t>
  </si>
  <si>
    <t>Grand Boiled Leather</t>
  </si>
  <si>
    <t>Swamp Cleaver</t>
  </si>
  <si>
    <t>Merchants Boots</t>
  </si>
  <si>
    <t>Delicate Gloves</t>
  </si>
  <si>
    <t>Weighted Club</t>
  </si>
  <si>
    <t>Studded Leather</t>
  </si>
  <si>
    <t>Topaz Ring</t>
  </si>
  <si>
    <t>Dinghy</t>
  </si>
  <si>
    <t>Hanging Pendant</t>
  </si>
  <si>
    <t>Dull Razor</t>
  </si>
  <si>
    <t>Rope Belt</t>
  </si>
  <si>
    <t>Visored Helm</t>
  </si>
  <si>
    <t>Hardened Mace</t>
  </si>
  <si>
    <t>Jade Ring</t>
  </si>
  <si>
    <t>Pewter Chain</t>
  </si>
  <si>
    <t>Cold Armour</t>
  </si>
  <si>
    <t>Ice Axe</t>
  </si>
  <si>
    <t>Parrying Blade</t>
  </si>
  <si>
    <t>Stout Hauberk</t>
  </si>
  <si>
    <t>Wrought Ring</t>
  </si>
  <si>
    <t>Embroidered Raiment</t>
  </si>
  <si>
    <t>Poisoned Blade</t>
  </si>
  <si>
    <t>Tailored Tunic</t>
  </si>
  <si>
    <t>Rainwood Cloak</t>
  </si>
  <si>
    <t>Mistwood Dagger</t>
  </si>
  <si>
    <t>Sanded Bow</t>
  </si>
  <si>
    <t>Pack Horse</t>
  </si>
  <si>
    <t>Grand Swamp Cleaver</t>
  </si>
  <si>
    <t>Grand Swamp Coat</t>
  </si>
  <si>
    <t>Grand Matching Bracelet</t>
  </si>
  <si>
    <t>Grand Writ of Passage</t>
  </si>
  <si>
    <t>Grand Merchants Boots</t>
  </si>
  <si>
    <t>Grand Delicate Gloves</t>
  </si>
  <si>
    <t>Grand Weighted Club</t>
  </si>
  <si>
    <t>Grand Studded Leather</t>
  </si>
  <si>
    <t>Grand Broad Hood</t>
  </si>
  <si>
    <t>Grand Topaz Ring</t>
  </si>
  <si>
    <t>Grand Fur Lined Boots</t>
  </si>
  <si>
    <t>Grand Biting Blade</t>
  </si>
  <si>
    <t>Grand Saltwater Surcoat</t>
  </si>
  <si>
    <t>Grand Dinghy</t>
  </si>
  <si>
    <t>Grand Dull Razor</t>
  </si>
  <si>
    <t>Grand Rope Belt</t>
  </si>
  <si>
    <t>Grand Visored Helm</t>
  </si>
  <si>
    <t>Grand Jade Ring</t>
  </si>
  <si>
    <t>Grand Cold Armour</t>
  </si>
  <si>
    <t>Grand Parrying Blade</t>
  </si>
  <si>
    <t>Grand Wrought Ring</t>
  </si>
  <si>
    <t>Grand Poisoned Blade</t>
  </si>
  <si>
    <t>Grand Rainwood Cloak</t>
  </si>
  <si>
    <t>Grand Sanded Bow</t>
  </si>
  <si>
    <t>Grand Pewter Chain</t>
  </si>
  <si>
    <t>Grand Hardened Mace</t>
  </si>
  <si>
    <t>Grand Ice Axe</t>
  </si>
  <si>
    <t>Grand Embroidered Raiment</t>
  </si>
  <si>
    <t>Grand Tailored Tunic</t>
  </si>
  <si>
    <t>Grand Mistwood Dagger</t>
  </si>
  <si>
    <t>Grand Pack Horse</t>
  </si>
  <si>
    <t>Black Ash</t>
  </si>
  <si>
    <t>Weirwood</t>
  </si>
  <si>
    <t>Buildings</t>
  </si>
  <si>
    <t>Adventure I</t>
  </si>
  <si>
    <t>Trade Route Maps</t>
  </si>
  <si>
    <t>Adventure I &amp; III</t>
  </si>
  <si>
    <t>Adventure II &amp; III</t>
  </si>
  <si>
    <t>Adventure II</t>
  </si>
  <si>
    <t>Tears of Lys</t>
  </si>
  <si>
    <t>Law of Masters Scroll</t>
  </si>
  <si>
    <t>Trail Rations</t>
  </si>
  <si>
    <t>Trail Rations for Attack</t>
  </si>
  <si>
    <t>Trail Rations for Defence</t>
  </si>
  <si>
    <t>Battle +10</t>
  </si>
  <si>
    <t>Trade Route</t>
  </si>
  <si>
    <t>Trade Route for Attack</t>
  </si>
  <si>
    <t>Trade Route for Defence</t>
  </si>
  <si>
    <t>Trade +10</t>
  </si>
  <si>
    <t>Forged Letter</t>
  </si>
  <si>
    <t>Forged Letter for Attack</t>
  </si>
  <si>
    <t>Forged Letter for Defence</t>
  </si>
  <si>
    <t>Intrigue + 10</t>
  </si>
  <si>
    <t>Patrolling</t>
  </si>
  <si>
    <t>5% All</t>
  </si>
  <si>
    <t>All +5</t>
  </si>
  <si>
    <t>Hold the Line</t>
  </si>
  <si>
    <t>7% Fight</t>
  </si>
  <si>
    <t>Hold the Line for Attack</t>
  </si>
  <si>
    <t>Hold the Line for Defence</t>
  </si>
  <si>
    <t>7% Harass</t>
  </si>
  <si>
    <t>Sharpshooting</t>
  </si>
  <si>
    <t>Sharpshooting for Attack</t>
  </si>
  <si>
    <t>Sharpshooting for Defence</t>
  </si>
  <si>
    <t>Reinforcement</t>
  </si>
  <si>
    <t>Reinforcement for Attack</t>
  </si>
  <si>
    <t>Reinforcement for Defence</t>
  </si>
  <si>
    <t>Servants Rumours</t>
  </si>
  <si>
    <t>Servants Rumours for Attack</t>
  </si>
  <si>
    <t>Servants Rumours for Defence</t>
  </si>
  <si>
    <t>Modifed Blueprint</t>
  </si>
  <si>
    <t>Modifed Blueprint for Attack</t>
  </si>
  <si>
    <t>Modifed Blueprint for Defence</t>
  </si>
  <si>
    <t>Rogues Cant</t>
  </si>
  <si>
    <t>Rogues Cant for Attack</t>
  </si>
  <si>
    <t>Rogues Cant for Defence</t>
  </si>
  <si>
    <t>Careful Accounting</t>
  </si>
  <si>
    <t>7% Barter</t>
  </si>
  <si>
    <t>Careful Accounting for Attack</t>
  </si>
  <si>
    <t>Careful Accounting for Defence</t>
  </si>
  <si>
    <t>Misdirection</t>
  </si>
  <si>
    <t>7% Hoodwink</t>
  </si>
  <si>
    <t>Silvered Palm</t>
  </si>
  <si>
    <t>Misdirection for Attack</t>
  </si>
  <si>
    <t>Misdirection for Defence</t>
  </si>
  <si>
    <t>Silvered Palm for Attack</t>
  </si>
  <si>
    <t>Silvered Palm for Defence</t>
  </si>
  <si>
    <t>Local Map</t>
  </si>
  <si>
    <t>H</t>
  </si>
  <si>
    <t>Call Auxiliary</t>
  </si>
  <si>
    <t>Whispers</t>
  </si>
  <si>
    <t>Whispers for Attack</t>
  </si>
  <si>
    <t>Whispers for Defence</t>
  </si>
  <si>
    <t>Call Auxiliary for Attack</t>
  </si>
  <si>
    <t>Call Auxiliary for Defence</t>
  </si>
  <si>
    <t>Inspection</t>
  </si>
  <si>
    <t>Inspection for Attack</t>
  </si>
  <si>
    <t>Inspection for Defence</t>
  </si>
  <si>
    <t>Arrow Volley</t>
  </si>
  <si>
    <t>Arrow Volley for Attack</t>
  </si>
  <si>
    <t>Arrow Volley for Defence</t>
  </si>
  <si>
    <t>12% Fight</t>
  </si>
  <si>
    <t>A Little Extra</t>
  </si>
  <si>
    <t>A Little Extra for Attack</t>
  </si>
  <si>
    <t>A Little Extra for Defence</t>
  </si>
  <si>
    <t>Heirloom Pendant</t>
  </si>
  <si>
    <t>Weirwood Bow</t>
  </si>
  <si>
    <t>Thievery</t>
  </si>
  <si>
    <t>Thievery for Attack</t>
  </si>
  <si>
    <t>Thievery for Defence</t>
  </si>
  <si>
    <t>Healing Arts</t>
  </si>
  <si>
    <t>Healing Arts for Attack</t>
  </si>
  <si>
    <t>Healing Arts for Defence</t>
  </si>
  <si>
    <t>12% Harass</t>
  </si>
  <si>
    <t>12% Aid</t>
  </si>
  <si>
    <t>COMBAT</t>
  </si>
  <si>
    <t>INTRIGUE</t>
  </si>
  <si>
    <t>TRADE</t>
  </si>
  <si>
    <t>Courtiers Outfit</t>
  </si>
  <si>
    <t>12% Spy</t>
  </si>
  <si>
    <t>12% Sabotage</t>
  </si>
  <si>
    <t>12% Steal</t>
  </si>
  <si>
    <t>12% Barter</t>
  </si>
  <si>
    <t>12% Bribe</t>
  </si>
  <si>
    <t>Reassurances</t>
  </si>
  <si>
    <t>Reassurances for Attack</t>
  </si>
  <si>
    <t>Reassurances for Defence</t>
  </si>
  <si>
    <t>Mediation</t>
  </si>
  <si>
    <t>Mediation for Attack</t>
  </si>
  <si>
    <t>Mediation for Defence</t>
  </si>
  <si>
    <t>Malfunction</t>
  </si>
  <si>
    <t>Malfunction for Attack</t>
  </si>
  <si>
    <t>Malfunction for Defence</t>
  </si>
  <si>
    <t>Shadowy Hood</t>
  </si>
  <si>
    <t>Sea Route</t>
  </si>
  <si>
    <t>Smugglers Route</t>
  </si>
  <si>
    <t>Insider Knowledge</t>
  </si>
  <si>
    <t>All +8</t>
  </si>
  <si>
    <t>Courage</t>
  </si>
  <si>
    <t>Courage for Attack</t>
  </si>
  <si>
    <t>Courage for Defence</t>
  </si>
  <si>
    <t>Legerdemain</t>
  </si>
  <si>
    <t>Legerdemain for Attack</t>
  </si>
  <si>
    <t>Legerdemain for Defence</t>
  </si>
  <si>
    <t>Wooden Toy Knight</t>
  </si>
  <si>
    <t>Insider Knowledge for Defence</t>
  </si>
  <si>
    <t>Intrigue +25</t>
  </si>
  <si>
    <t>Hefty Shield</t>
  </si>
  <si>
    <t>Valyrian Steel Dagger</t>
  </si>
  <si>
    <t>Piracy</t>
  </si>
  <si>
    <t>Piracy for Attack</t>
  </si>
  <si>
    <t>Piracy for Defence</t>
  </si>
  <si>
    <t>Great Axe</t>
  </si>
  <si>
    <t>F</t>
  </si>
  <si>
    <t>Fight/Barter/Spy</t>
  </si>
  <si>
    <t>Harass/Swindle/Sabotage</t>
  </si>
  <si>
    <t>Aid/Bribe/Steal</t>
  </si>
  <si>
    <t>Bonus %</t>
  </si>
  <si>
    <t>Trait</t>
  </si>
  <si>
    <t>A</t>
  </si>
  <si>
    <t>Ba</t>
  </si>
  <si>
    <t>Br</t>
  </si>
  <si>
    <t>Sp</t>
  </si>
  <si>
    <t>Sa</t>
  </si>
  <si>
    <t>Sw</t>
  </si>
  <si>
    <t>St</t>
  </si>
  <si>
    <t>Highest</t>
  </si>
  <si>
    <t>Dormant Dragon Egg</t>
  </si>
  <si>
    <t>Padded Armour</t>
  </si>
  <si>
    <t>Silver Pendant</t>
  </si>
  <si>
    <t>Myrish Fire</t>
  </si>
  <si>
    <t>Pennyroyal</t>
  </si>
  <si>
    <t>Bastard Sword</t>
  </si>
  <si>
    <t>Ruby Ring</t>
  </si>
  <si>
    <t>Fire Opal Ring</t>
  </si>
  <si>
    <t>Moonstone Pendant</t>
  </si>
  <si>
    <t>Censered Mace</t>
  </si>
  <si>
    <t>Obsidian Dagger</t>
  </si>
  <si>
    <t>Unsullied Shortsword</t>
  </si>
  <si>
    <t>Unsullied Spear</t>
  </si>
  <si>
    <t>Unsullied Shield</t>
  </si>
  <si>
    <t>Pyre</t>
  </si>
  <si>
    <t>Adventures</t>
  </si>
  <si>
    <t>Quests</t>
  </si>
  <si>
    <t>Sapphire Ring</t>
  </si>
  <si>
    <t>Ice Pick</t>
  </si>
  <si>
    <t>Wall Climber</t>
  </si>
  <si>
    <t>Morning Star</t>
  </si>
  <si>
    <t>Flickering Fire</t>
  </si>
  <si>
    <t>Grand Hanging Pendant</t>
  </si>
  <si>
    <t>Greathelm</t>
  </si>
  <si>
    <t>Moonstone Bracelet</t>
  </si>
  <si>
    <t>Ledger Book</t>
  </si>
  <si>
    <t>Wedding Drummer</t>
  </si>
  <si>
    <t>Wedding Lutist</t>
  </si>
  <si>
    <t>Wedding Violist</t>
  </si>
  <si>
    <t>Binding Fabric</t>
  </si>
  <si>
    <t>Hidden Chainmail</t>
  </si>
  <si>
    <t>Friend help with Boss Challenge</t>
  </si>
  <si>
    <t>Honeycakes</t>
  </si>
  <si>
    <t>1.2</t>
  </si>
  <si>
    <t>1.3</t>
  </si>
  <si>
    <t>Join an Alliance</t>
  </si>
  <si>
    <t>1.6</t>
  </si>
  <si>
    <t>Use 150 Boons</t>
  </si>
  <si>
    <t>Standard Bearers</t>
  </si>
  <si>
    <t>2.1</t>
  </si>
  <si>
    <t>Have 20 friends</t>
  </si>
  <si>
    <t>Use 500 Boons</t>
  </si>
  <si>
    <t>Flickering Flame</t>
  </si>
  <si>
    <t>2.4</t>
  </si>
  <si>
    <t>2.5</t>
  </si>
  <si>
    <t>Have an alignment at 100%</t>
  </si>
  <si>
    <t>Rashers of bacon</t>
  </si>
  <si>
    <t>2.7</t>
  </si>
  <si>
    <t>Purchase 100 items from the shop</t>
  </si>
  <si>
    <t>Have a Sworn Sword at Rank 30</t>
  </si>
  <si>
    <t>Red Gem bonuses</t>
  </si>
  <si>
    <t>Of Wile</t>
  </si>
  <si>
    <t>Arbor Gold</t>
  </si>
  <si>
    <t>Of Anger</t>
  </si>
  <si>
    <t>Sturdy</t>
  </si>
  <si>
    <t>Of Weeping</t>
  </si>
  <si>
    <t>Of Shadows</t>
  </si>
  <si>
    <t>Of Wealth</t>
  </si>
  <si>
    <t>Dangerous</t>
  </si>
  <si>
    <t>Foreign</t>
  </si>
  <si>
    <t>Majestic</t>
  </si>
  <si>
    <t>Of Krakens</t>
  </si>
  <si>
    <t>Expensive</t>
  </si>
  <si>
    <t>Of Knowledge</t>
  </si>
  <si>
    <t>Of Secrets</t>
  </si>
  <si>
    <t>Polished</t>
  </si>
  <si>
    <t>Of Greed</t>
  </si>
  <si>
    <t>Of Deception</t>
  </si>
  <si>
    <t>Of Skirmishes</t>
  </si>
  <si>
    <t>Of Brawls</t>
  </si>
  <si>
    <t>Of Subtlety</t>
  </si>
  <si>
    <t>Shadowy</t>
  </si>
  <si>
    <t>Tough</t>
  </si>
  <si>
    <t>Refined</t>
  </si>
  <si>
    <t>Luxurious</t>
  </si>
  <si>
    <t>Of Coins</t>
  </si>
  <si>
    <t>Opulent</t>
  </si>
  <si>
    <t>Traditional</t>
  </si>
  <si>
    <t>Of Custom</t>
  </si>
  <si>
    <t>Exotic</t>
  </si>
  <si>
    <t>Hidden</t>
  </si>
  <si>
    <t>Fine</t>
  </si>
  <si>
    <t>Of Negotiation</t>
  </si>
  <si>
    <t>Of Hospitality</t>
  </si>
  <si>
    <t>Of Worth</t>
  </si>
  <si>
    <t>Hoarding</t>
  </si>
  <si>
    <t>Of Warfare</t>
  </si>
  <si>
    <t>Of Prosperity</t>
  </si>
  <si>
    <t>Of Stealth</t>
  </si>
  <si>
    <t>Hearty</t>
  </si>
  <si>
    <t>Covert</t>
  </si>
  <si>
    <t>?</t>
  </si>
  <si>
    <t>Of the Stag</t>
  </si>
  <si>
    <t>Of Wolves</t>
  </si>
  <si>
    <t>Of Fish</t>
  </si>
  <si>
    <t>Of Dragons</t>
  </si>
  <si>
    <t>Of the Sun</t>
  </si>
  <si>
    <t>Of Falcons</t>
  </si>
  <si>
    <t>Of Conflict</t>
  </si>
  <si>
    <t>Of Gain</t>
  </si>
  <si>
    <t>Of Deceit</t>
  </si>
  <si>
    <t>Of Ravens</t>
  </si>
  <si>
    <t>Well Balanced</t>
  </si>
  <si>
    <t>Comfortable</t>
  </si>
  <si>
    <t>Worthy</t>
  </si>
  <si>
    <t>Lavish</t>
  </si>
  <si>
    <t>Furtive</t>
  </si>
  <si>
    <t>Shining</t>
  </si>
  <si>
    <t>Of War</t>
  </si>
  <si>
    <t>Of Trickery</t>
  </si>
  <si>
    <t>Expert</t>
  </si>
  <si>
    <t>Gleaming</t>
  </si>
  <si>
    <t>Concealed</t>
  </si>
  <si>
    <t>Dark</t>
  </si>
  <si>
    <t>Of Combat</t>
  </si>
  <si>
    <t>Base (Defence)</t>
  </si>
  <si>
    <t>Base (Attack)</t>
  </si>
  <si>
    <t>% Attack</t>
  </si>
  <si>
    <t>% Defence</t>
  </si>
  <si>
    <t>Harrying</t>
  </si>
  <si>
    <t>Harrying for Attack</t>
  </si>
  <si>
    <t>Harrying for Defence</t>
  </si>
  <si>
    <t>Disruptive Operations</t>
  </si>
  <si>
    <t>Disruptive Operations for Attack</t>
  </si>
  <si>
    <t>Disruptive Operations for Defence</t>
  </si>
  <si>
    <t>Smile and Nod</t>
  </si>
  <si>
    <t>Smile and Nod for Attack</t>
  </si>
  <si>
    <t>Smile and Nod for Defence</t>
  </si>
  <si>
    <t>12% Swindle</t>
  </si>
  <si>
    <t>Greatsword</t>
  </si>
  <si>
    <t>Longboat</t>
  </si>
  <si>
    <t>Flickering Fire = 33%</t>
  </si>
  <si>
    <t>Wildfire = 16.7%</t>
  </si>
  <si>
    <t>Pyre = 16.7%</t>
  </si>
  <si>
    <t>Fireship = 6.5%</t>
  </si>
  <si>
    <t>Quicken Egg = 1%</t>
  </si>
  <si>
    <t>Hatch Dragon = 0.3%</t>
  </si>
  <si>
    <t>Improved results</t>
  </si>
  <si>
    <t>Furnace</t>
  </si>
  <si>
    <t>Meeting Hall</t>
  </si>
  <si>
    <t>Spy W, A, U</t>
  </si>
  <si>
    <t>Battle W</t>
  </si>
  <si>
    <t>Sundries Stall</t>
  </si>
  <si>
    <t>Trade W, A, U</t>
  </si>
  <si>
    <t>Palisades</t>
  </si>
  <si>
    <t>Battle A</t>
  </si>
  <si>
    <t>Increment</t>
  </si>
  <si>
    <t>Cost</t>
  </si>
  <si>
    <t>Scriptorium</t>
  </si>
  <si>
    <t>Sabotage W, A, U</t>
  </si>
  <si>
    <t>All U</t>
  </si>
  <si>
    <t>Armour</t>
  </si>
  <si>
    <t>Weapon</t>
  </si>
  <si>
    <t>Wooden Swords</t>
  </si>
  <si>
    <t>Battle U</t>
  </si>
  <si>
    <t>Current Level</t>
  </si>
  <si>
    <t>%</t>
  </si>
  <si>
    <t>Urchins</t>
  </si>
  <si>
    <t>Steal W, A, U</t>
  </si>
  <si>
    <t>Baratheon</t>
  </si>
  <si>
    <t>Ours is the Fury</t>
  </si>
  <si>
    <t>n/a</t>
  </si>
  <si>
    <t>Targaryen</t>
  </si>
  <si>
    <t>Fire and Blood</t>
  </si>
  <si>
    <t>All W</t>
  </si>
  <si>
    <t>Possible increases</t>
  </si>
  <si>
    <t>Actual increases</t>
  </si>
  <si>
    <t>Of Power</t>
  </si>
  <si>
    <t>Hedge Knight</t>
  </si>
  <si>
    <t>Backgrounds</t>
  </si>
  <si>
    <t>Highborn Bastard</t>
  </si>
  <si>
    <t>Fosterling</t>
  </si>
  <si>
    <t>Whisperer</t>
  </si>
  <si>
    <t>Former Mercenary</t>
  </si>
  <si>
    <t>Minor Noble</t>
  </si>
  <si>
    <t>Hunting Dogs</t>
  </si>
  <si>
    <t>Y</t>
  </si>
  <si>
    <t>Proven</t>
  </si>
  <si>
    <t>Grand Heavy Coinage</t>
  </si>
  <si>
    <t>Curved Dagger</t>
  </si>
  <si>
    <t>Watchmen</t>
  </si>
  <si>
    <t>Archery Platform</t>
  </si>
  <si>
    <t>Locksmith</t>
  </si>
  <si>
    <t>Shade of the Evening</t>
  </si>
  <si>
    <t>Gold</t>
  </si>
  <si>
    <t>Slippers</t>
  </si>
  <si>
    <t>Silver</t>
  </si>
  <si>
    <t>Vanguard</t>
  </si>
  <si>
    <t>Skirmisher</t>
  </si>
  <si>
    <t>Agent</t>
  </si>
  <si>
    <t>Corrupter</t>
  </si>
  <si>
    <t>Various</t>
  </si>
  <si>
    <t>All</t>
  </si>
  <si>
    <t>Charlatan</t>
  </si>
  <si>
    <t>Protector</t>
  </si>
  <si>
    <t>Weapon Rack</t>
  </si>
  <si>
    <t>Of Riches</t>
  </si>
  <si>
    <t>Unsullied Helmet</t>
  </si>
  <si>
    <t>Pauldrons</t>
  </si>
  <si>
    <t>Gold Brooch</t>
  </si>
  <si>
    <t>Wall Climbing Crampon</t>
  </si>
  <si>
    <t>Produce 20 wood resources</t>
  </si>
  <si>
    <t>Greaves</t>
  </si>
  <si>
    <t>Strong</t>
  </si>
  <si>
    <t>1.5</t>
  </si>
  <si>
    <t>Win 50 PvP</t>
  </si>
  <si>
    <t>Random uncommon gear</t>
  </si>
  <si>
    <t>Have an alignment at 60%</t>
  </si>
  <si>
    <t>1.8</t>
  </si>
  <si>
    <t>Upgrade Fealty building 20 times</t>
  </si>
  <si>
    <t>1.9</t>
  </si>
  <si>
    <t>Use 350 boons</t>
  </si>
  <si>
    <t>1.E</t>
  </si>
  <si>
    <t>Have an alignment at 90%</t>
  </si>
  <si>
    <t>2.8</t>
  </si>
  <si>
    <t>Produce 250 rare or better items</t>
  </si>
  <si>
    <t>2.12</t>
  </si>
  <si>
    <t>Produce 400 rare or better items</t>
  </si>
  <si>
    <t>Scorched Cuirass</t>
  </si>
  <si>
    <t>Scorched Greatsword</t>
  </si>
  <si>
    <t>Levered Crossbow</t>
  </si>
  <si>
    <t>Spicer Guild Ledgers</t>
  </si>
  <si>
    <t>Fireship</t>
  </si>
  <si>
    <t>Hunted Shadowcat Cloak</t>
  </si>
  <si>
    <t>Grand Short Hauberk</t>
  </si>
  <si>
    <t>Artisan</t>
  </si>
  <si>
    <t>Moonstone Chain</t>
  </si>
  <si>
    <t>CPs</t>
  </si>
  <si>
    <t>Prayer Wheel</t>
  </si>
  <si>
    <t>Woven Tapastry</t>
  </si>
  <si>
    <t>Max</t>
  </si>
  <si>
    <t>B</t>
  </si>
  <si>
    <t>T</t>
  </si>
  <si>
    <t>Fealty</t>
  </si>
  <si>
    <t>King Robert's Armour</t>
  </si>
  <si>
    <t>Forest-Green Cloak</t>
  </si>
  <si>
    <t>535 before changed to Armoury</t>
  </si>
  <si>
    <t>Armoured Knight</t>
  </si>
  <si>
    <t>Arbor</t>
  </si>
  <si>
    <t>Glasshouse</t>
  </si>
  <si>
    <t>Masterwork Spear</t>
  </si>
  <si>
    <t>Halberdier</t>
  </si>
  <si>
    <t>Spear</t>
  </si>
  <si>
    <t>Spearman</t>
  </si>
  <si>
    <t>Filigreed Outfit</t>
  </si>
  <si>
    <t>Black Diamond Ring</t>
  </si>
  <si>
    <t>Poisoned Cask</t>
  </si>
  <si>
    <t>Ancestral Valyrian Steel Greatsword</t>
  </si>
  <si>
    <t>Ygritte's Bow</t>
  </si>
  <si>
    <t>Bear</t>
  </si>
  <si>
    <t>Stag</t>
  </si>
  <si>
    <t>White Raven</t>
  </si>
  <si>
    <t>Blue Flame</t>
  </si>
  <si>
    <t>Theon Greyjoy's Ship</t>
  </si>
  <si>
    <t>Direwolf</t>
  </si>
  <si>
    <t>Skill</t>
  </si>
  <si>
    <t>AN Other</t>
  </si>
  <si>
    <t>Drowned Man</t>
  </si>
  <si>
    <t>Wild Boar</t>
  </si>
  <si>
    <t>Of Lions</t>
  </si>
  <si>
    <t>Hand/Body</t>
  </si>
  <si>
    <t>Reward</t>
  </si>
  <si>
    <t>Faster</t>
  </si>
  <si>
    <t>Apy</t>
  </si>
  <si>
    <t>Uniy</t>
  </si>
  <si>
    <t>Baby Dragon</t>
  </si>
  <si>
    <t>Dragon Egg</t>
  </si>
  <si>
    <t>Plate and Chain</t>
  </si>
  <si>
    <t>Of Flowers</t>
  </si>
  <si>
    <t>Hood</t>
  </si>
  <si>
    <t>Cersei's Lion Torc</t>
  </si>
  <si>
    <t>Myrish Stiletto</t>
  </si>
  <si>
    <t>Second Sons Armour</t>
  </si>
  <si>
    <t>Wolfs Fur Cloak</t>
  </si>
  <si>
    <t>Braavos Coin</t>
  </si>
  <si>
    <t>PtP</t>
  </si>
  <si>
    <t>More silver loss</t>
  </si>
  <si>
    <t>Spiked Flail</t>
  </si>
  <si>
    <t>Book of Account</t>
  </si>
  <si>
    <t>Reward (B)</t>
  </si>
  <si>
    <t>Dead SS replace</t>
  </si>
  <si>
    <t>Moonstone Necklace</t>
  </si>
  <si>
    <t>Gorget</t>
  </si>
  <si>
    <t>Dreamwine</t>
  </si>
  <si>
    <t>Opal Ring</t>
  </si>
  <si>
    <t>Masterwork Greatsword</t>
  </si>
  <si>
    <t>Seige Works</t>
  </si>
  <si>
    <t>Manticore Venom</t>
  </si>
  <si>
    <t>Bascinet</t>
  </si>
  <si>
    <t>Undetectable Poison</t>
  </si>
  <si>
    <t>Harass?</t>
  </si>
  <si>
    <t>Mead x 3</t>
  </si>
  <si>
    <t>Grain x 15</t>
  </si>
  <si>
    <t>Gold Ring x 5</t>
  </si>
  <si>
    <t>Leatherbound x 3</t>
  </si>
  <si>
    <t>Wood x 8</t>
  </si>
  <si>
    <t>Grain x 4</t>
  </si>
  <si>
    <t>Greathelm x 3</t>
  </si>
  <si>
    <t>Lead x 15</t>
  </si>
  <si>
    <t>Poisoned Cask x 3</t>
  </si>
  <si>
    <t>Travelling Wallet</t>
  </si>
  <si>
    <t>Jeweled Bracelet</t>
  </si>
  <si>
    <t>Improper Bookkeeping</t>
  </si>
  <si>
    <t>Pewter Collar</t>
  </si>
  <si>
    <t>Adventures I</t>
  </si>
  <si>
    <t>Basic Research</t>
  </si>
  <si>
    <t>Scholar</t>
  </si>
  <si>
    <t>Grand Travelling Wallet</t>
  </si>
  <si>
    <t>Grand Jeweled Bracelet</t>
  </si>
  <si>
    <t>Grand Improper Bookkeeping</t>
  </si>
  <si>
    <t>Grand Pewter Collar</t>
  </si>
  <si>
    <t>Valuable Research</t>
  </si>
  <si>
    <t>Intent Scholar</t>
  </si>
  <si>
    <t>Empty</t>
  </si>
  <si>
    <t>Seal 1</t>
  </si>
  <si>
    <t>Seal 2</t>
  </si>
  <si>
    <t>Seal 3</t>
  </si>
  <si>
    <t>Seal 4</t>
  </si>
  <si>
    <t>Seal 5</t>
  </si>
  <si>
    <t>Seal 6</t>
  </si>
  <si>
    <t>Seals</t>
  </si>
  <si>
    <t>Agent's Sign</t>
  </si>
  <si>
    <t>Black Mist Seal</t>
  </si>
  <si>
    <t>Blacksmith's Mark</t>
  </si>
  <si>
    <t>Cutpurse's Sign</t>
  </si>
  <si>
    <t>Fraud's Imprint</t>
  </si>
  <si>
    <t>Glowing Seal</t>
  </si>
  <si>
    <t>Mark of the Little Birds</t>
  </si>
  <si>
    <t>Merchant's Mark</t>
  </si>
  <si>
    <t>Raider's Notch</t>
  </si>
  <si>
    <t>Saboteur's Sign</t>
  </si>
  <si>
    <t>Seal of the Dragon</t>
  </si>
  <si>
    <t>Seal of the Eagle</t>
  </si>
  <si>
    <t>Seal of the Fish</t>
  </si>
  <si>
    <t>Seal of the Kraken</t>
  </si>
  <si>
    <t>Seal of the Lion</t>
  </si>
  <si>
    <t>Seal of the Rose</t>
  </si>
  <si>
    <t>Seal of the Stag</t>
  </si>
  <si>
    <t>Seal of the Sun and Spear</t>
  </si>
  <si>
    <t>Seal of the Wolf</t>
  </si>
  <si>
    <t>Symbol of Help</t>
  </si>
  <si>
    <t>Treasurer's Imprint</t>
  </si>
  <si>
    <t>Warrior's Imprint</t>
  </si>
  <si>
    <t>Seal</t>
  </si>
  <si>
    <t>Silver Mist Seal</t>
  </si>
  <si>
    <t>Stone Seal</t>
  </si>
  <si>
    <t>Bailiff's Mark</t>
  </si>
  <si>
    <t>Buildings:</t>
  </si>
  <si>
    <t>Critical Success %</t>
  </si>
  <si>
    <t>Click to switch</t>
  </si>
  <si>
    <t>y</t>
  </si>
  <si>
    <t>n</t>
  </si>
  <si>
    <t>Ygritte's Furs</t>
  </si>
  <si>
    <t>Rainbow Guard Cloak</t>
  </si>
  <si>
    <t>Burning Sword</t>
  </si>
  <si>
    <t>Joffrey's Crossbow</t>
  </si>
  <si>
    <t>Silver Loss</t>
  </si>
  <si>
    <t>Ptp</t>
  </si>
  <si>
    <t>Daario's Straight Blade</t>
  </si>
  <si>
    <t>Greatjon Umber's Bare Steel</t>
  </si>
  <si>
    <t>Direwolf Patriarch</t>
  </si>
  <si>
    <t>Manticore Ball</t>
  </si>
  <si>
    <t>Sworn Swords</t>
  </si>
  <si>
    <t>Current</t>
  </si>
  <si>
    <t>When adding new Sworn Swords it is easier to change the cell colour before typing the new name</t>
  </si>
  <si>
    <t>Colours don't update unless you either change the contents of the cell or use F2 and enter.</t>
  </si>
  <si>
    <t>Save regularly as most the logic in this sheet is vba and can't be undone via ctr-z</t>
  </si>
  <si>
    <t>Formulae are unprotected (for copying/pasting reasons) so be careful only to edit cells that have text in</t>
  </si>
  <si>
    <t>The current limits for Sworn Swords are 50 for each type (Battle/Trade/Intrigue). This can be increased if required.</t>
  </si>
  <si>
    <t>This workbook is complex so things might go wrong.</t>
  </si>
  <si>
    <t>If an item causes an "#N/A" error it has either been mis-spelt or is not present in the items tab. Use add item to add it.</t>
  </si>
  <si>
    <t>Avoid deleting Sworn Swords if possible. Always replace them.</t>
  </si>
  <si>
    <t>Only delete them from the Stats Scores sheet. Deleting them from the SS sheets will mess up the Show/Hide buttons</t>
  </si>
  <si>
    <t>If you have to delete a Sworn Sword set Misc!AA37 to "New" first and change it back to "Current" afterwards. This will stop the formatting getting messed up.</t>
  </si>
  <si>
    <t>Dunk the Lunk</t>
  </si>
  <si>
    <t>Ser</t>
  </si>
  <si>
    <t>Standard Carrier</t>
  </si>
  <si>
    <t>Intrigue Base</t>
  </si>
  <si>
    <t>Trade Base</t>
  </si>
  <si>
    <t>Helpful Maddy Farring</t>
  </si>
  <si>
    <t>Shirt</t>
  </si>
  <si>
    <t>Deadly Donnel Follard</t>
  </si>
  <si>
    <t>Mace</t>
  </si>
  <si>
    <t>Doreah Staedmon</t>
  </si>
  <si>
    <t>Lazy Aerion Cleftjaw</t>
  </si>
  <si>
    <t>Foreign Blindeye</t>
  </si>
  <si>
    <t>Dangerous Linen Clothing of Secrets</t>
  </si>
</sst>
</file>

<file path=xl/styles.xml><?xml version="1.0" encoding="utf-8"?>
<styleSheet xmlns="http://schemas.openxmlformats.org/spreadsheetml/2006/main">
  <fonts count="3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rgb="FFFFC00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FFC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color rgb="FF00B050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2"/>
      <color rgb="FF323232"/>
      <name val="Inherit"/>
    </font>
    <font>
      <b/>
      <i/>
      <sz val="12"/>
      <color rgb="FF323232"/>
      <name val="Inherit"/>
    </font>
    <font>
      <sz val="12"/>
      <color rgb="FF323232"/>
      <name val="Inherit"/>
    </font>
    <font>
      <sz val="11"/>
      <color rgb="FFFF0000"/>
      <name val="Arial"/>
      <family val="2"/>
    </font>
    <font>
      <sz val="11"/>
      <color rgb="FF008000"/>
      <name val="Arial"/>
      <family val="2"/>
    </font>
    <font>
      <sz val="11"/>
      <color rgb="FFFFA500"/>
      <name val="Arial"/>
      <family val="2"/>
    </font>
    <font>
      <sz val="11"/>
      <color rgb="FFA52A2A"/>
      <name val="Arial"/>
      <family val="2"/>
    </font>
    <font>
      <sz val="11"/>
      <color rgb="FF808080"/>
      <name val="Arial"/>
      <family val="2"/>
    </font>
    <font>
      <sz val="11"/>
      <color rgb="FF00B0F0"/>
      <name val="Arial"/>
      <family val="2"/>
    </font>
    <font>
      <i/>
      <sz val="11"/>
      <color rgb="FF00B050"/>
      <name val="Calibri"/>
      <family val="2"/>
      <scheme val="minor"/>
    </font>
    <font>
      <u/>
      <sz val="11"/>
      <color theme="10"/>
      <name val="Calibri"/>
      <family val="2"/>
    </font>
    <font>
      <sz val="11"/>
      <color indexed="8"/>
      <name val="Calibri"/>
      <family val="2"/>
      <charset val="1"/>
    </font>
    <font>
      <sz val="11"/>
      <color theme="1"/>
      <name val="Calibri"/>
      <family val="2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indexed="8"/>
      <name val="Calibri"/>
      <family val="2"/>
    </font>
    <font>
      <b/>
      <sz val="11"/>
      <color rgb="FF00B0F0"/>
      <name val="Calibri"/>
      <family val="2"/>
    </font>
    <font>
      <b/>
      <sz val="11"/>
      <color rgb="FF00B050"/>
      <name val="Calibri"/>
      <family val="2"/>
    </font>
    <font>
      <sz val="11"/>
      <color indexed="8"/>
      <name val="Calibri"/>
      <family val="2"/>
    </font>
    <font>
      <b/>
      <i/>
      <sz val="11"/>
      <name val="Calibri"/>
      <family val="2"/>
      <scheme val="minor"/>
    </font>
    <font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92D050"/>
        <bgColor indexed="64"/>
      </patternFill>
    </fill>
  </fills>
  <borders count="1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9" fontId="14" fillId="0" borderId="0" applyFont="0" applyFill="0" applyBorder="0" applyAlignment="0" applyProtection="0"/>
    <xf numFmtId="0" fontId="26" fillId="0" borderId="0" applyNumberFormat="0" applyFill="0" applyBorder="0" applyAlignment="0" applyProtection="0">
      <alignment vertical="top"/>
      <protection locked="0"/>
    </xf>
    <xf numFmtId="0" fontId="27" fillId="0" borderId="0"/>
  </cellStyleXfs>
  <cellXfs count="332">
    <xf numFmtId="0" fontId="0" fillId="0" borderId="0" xfId="0"/>
    <xf numFmtId="0" fontId="0" fillId="0" borderId="1" xfId="0" applyBorder="1"/>
    <xf numFmtId="0" fontId="0" fillId="0" borderId="0" xfId="0" applyFill="1" applyBorder="1"/>
    <xf numFmtId="0" fontId="1" fillId="0" borderId="1" xfId="0" applyFont="1" applyBorder="1"/>
    <xf numFmtId="0" fontId="2" fillId="0" borderId="1" xfId="0" applyFont="1" applyBorder="1"/>
    <xf numFmtId="0" fontId="3" fillId="0" borderId="1" xfId="0" applyFont="1" applyBorder="1"/>
    <xf numFmtId="0" fontId="4" fillId="0" borderId="1" xfId="0" applyFont="1" applyBorder="1"/>
    <xf numFmtId="0" fontId="0" fillId="0" borderId="1" xfId="0" applyFont="1" applyBorder="1"/>
    <xf numFmtId="0" fontId="1" fillId="0" borderId="0" xfId="0" applyFont="1" applyBorder="1"/>
    <xf numFmtId="0" fontId="0" fillId="0" borderId="0" xfId="0" applyBorder="1"/>
    <xf numFmtId="0" fontId="5" fillId="0" borderId="1" xfId="0" applyFont="1" applyBorder="1"/>
    <xf numFmtId="0" fontId="0" fillId="0" borderId="0" xfId="0" applyFill="1" applyBorder="1" applyAlignment="1">
      <alignment horizontal="left"/>
    </xf>
    <xf numFmtId="0" fontId="0" fillId="0" borderId="1" xfId="0" applyFill="1" applyBorder="1"/>
    <xf numFmtId="0" fontId="0" fillId="0" borderId="1" xfId="0" applyBorder="1" applyAlignment="1">
      <alignment horizontal="center"/>
    </xf>
    <xf numFmtId="9" fontId="0" fillId="0" borderId="0" xfId="0" applyNumberFormat="1" applyBorder="1"/>
    <xf numFmtId="0" fontId="6" fillId="0" borderId="1" xfId="0" applyFont="1" applyBorder="1"/>
    <xf numFmtId="0" fontId="8" fillId="0" borderId="0" xfId="0" applyFont="1" applyFill="1" applyBorder="1"/>
    <xf numFmtId="0" fontId="9" fillId="0" borderId="0" xfId="0" applyFont="1" applyFill="1" applyBorder="1"/>
    <xf numFmtId="0" fontId="11" fillId="0" borderId="0" xfId="0" applyFont="1" applyFill="1" applyBorder="1"/>
    <xf numFmtId="0" fontId="10" fillId="0" borderId="0" xfId="0" applyFont="1" applyBorder="1"/>
    <xf numFmtId="0" fontId="0" fillId="0" borderId="2" xfId="0" applyBorder="1"/>
    <xf numFmtId="9" fontId="0" fillId="0" borderId="1" xfId="0" applyNumberFormat="1" applyBorder="1"/>
    <xf numFmtId="0" fontId="0" fillId="0" borderId="0" xfId="0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8" fillId="0" borderId="0" xfId="0" applyFont="1" applyBorder="1"/>
    <xf numFmtId="0" fontId="9" fillId="0" borderId="0" xfId="0" applyFont="1" applyBorder="1"/>
    <xf numFmtId="0" fontId="0" fillId="0" borderId="3" xfId="0" applyBorder="1"/>
    <xf numFmtId="0" fontId="3" fillId="0" borderId="3" xfId="0" applyFont="1" applyBorder="1"/>
    <xf numFmtId="0" fontId="4" fillId="0" borderId="3" xfId="0" applyFont="1" applyBorder="1"/>
    <xf numFmtId="0" fontId="0" fillId="0" borderId="4" xfId="0" applyBorder="1"/>
    <xf numFmtId="0" fontId="0" fillId="0" borderId="5" xfId="0" applyBorder="1"/>
    <xf numFmtId="0" fontId="0" fillId="0" borderId="0" xfId="0" applyBorder="1" applyAlignment="1">
      <alignment horizontal="left"/>
    </xf>
    <xf numFmtId="0" fontId="1" fillId="0" borderId="3" xfId="0" applyFont="1" applyBorder="1"/>
    <xf numFmtId="0" fontId="0" fillId="0" borderId="2" xfId="0" applyBorder="1" applyAlignment="1">
      <alignment horizontal="center"/>
    </xf>
    <xf numFmtId="0" fontId="10" fillId="0" borderId="2" xfId="0" applyFont="1" applyFill="1" applyBorder="1"/>
    <xf numFmtId="0" fontId="0" fillId="0" borderId="2" xfId="0" applyFill="1" applyBorder="1"/>
    <xf numFmtId="0" fontId="5" fillId="0" borderId="3" xfId="0" applyFont="1" applyBorder="1"/>
    <xf numFmtId="0" fontId="0" fillId="0" borderId="3" xfId="0" applyFill="1" applyBorder="1"/>
    <xf numFmtId="0" fontId="2" fillId="0" borderId="3" xfId="0" applyFont="1" applyBorder="1"/>
    <xf numFmtId="0" fontId="1" fillId="0" borderId="0" xfId="0" applyFont="1"/>
    <xf numFmtId="0" fontId="0" fillId="0" borderId="0" xfId="0" applyAlignment="1">
      <alignment horizontal="center"/>
    </xf>
    <xf numFmtId="9" fontId="0" fillId="0" borderId="0" xfId="0" applyNumberFormat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9" xfId="0" applyFill="1" applyBorder="1"/>
    <xf numFmtId="0" fontId="0" fillId="0" borderId="0" xfId="0" applyAlignment="1">
      <alignment horizontal="left"/>
    </xf>
    <xf numFmtId="0" fontId="0" fillId="0" borderId="0" xfId="0" applyFill="1" applyBorder="1" applyAlignment="1"/>
    <xf numFmtId="0" fontId="7" fillId="0" borderId="0" xfId="0" applyFont="1" applyFill="1" applyBorder="1"/>
    <xf numFmtId="0" fontId="7" fillId="0" borderId="0" xfId="0" applyFont="1"/>
    <xf numFmtId="0" fontId="7" fillId="0" borderId="0" xfId="0" applyFont="1" applyBorder="1"/>
    <xf numFmtId="0" fontId="0" fillId="0" borderId="7" xfId="0" applyFill="1" applyBorder="1"/>
    <xf numFmtId="0" fontId="0" fillId="0" borderId="2" xfId="0" applyBorder="1" applyAlignment="1">
      <alignment horizontal="left"/>
    </xf>
    <xf numFmtId="0" fontId="0" fillId="0" borderId="0" xfId="0" applyAlignment="1"/>
    <xf numFmtId="0" fontId="1" fillId="0" borderId="10" xfId="0" applyFont="1" applyFill="1" applyBorder="1"/>
    <xf numFmtId="0" fontId="2" fillId="0" borderId="1" xfId="0" applyFont="1" applyFill="1" applyBorder="1"/>
    <xf numFmtId="0" fontId="6" fillId="0" borderId="1" xfId="0" applyFont="1" applyFill="1" applyBorder="1"/>
    <xf numFmtId="0" fontId="1" fillId="0" borderId="1" xfId="0" applyFont="1" applyFill="1" applyBorder="1"/>
    <xf numFmtId="0" fontId="0" fillId="0" borderId="0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13" fillId="0" borderId="1" xfId="0" applyFont="1" applyBorder="1"/>
    <xf numFmtId="0" fontId="0" fillId="0" borderId="4" xfId="0" applyBorder="1" applyAlignment="1">
      <alignment horizontal="center"/>
    </xf>
    <xf numFmtId="0" fontId="6" fillId="0" borderId="3" xfId="0" applyFont="1" applyBorder="1"/>
    <xf numFmtId="0" fontId="1" fillId="0" borderId="5" xfId="0" applyFont="1" applyBorder="1"/>
    <xf numFmtId="0" fontId="10" fillId="0" borderId="0" xfId="0" applyFont="1" applyFill="1" applyBorder="1"/>
    <xf numFmtId="0" fontId="11" fillId="0" borderId="2" xfId="0" applyFont="1" applyFill="1" applyBorder="1"/>
    <xf numFmtId="0" fontId="1" fillId="0" borderId="0" xfId="0" applyFont="1" applyAlignment="1">
      <alignment horizontal="center"/>
    </xf>
    <xf numFmtId="0" fontId="16" fillId="2" borderId="11" xfId="0" applyFont="1" applyFill="1" applyBorder="1" applyAlignment="1">
      <alignment horizontal="center" wrapText="1"/>
    </xf>
    <xf numFmtId="0" fontId="16" fillId="3" borderId="11" xfId="0" applyFont="1" applyFill="1" applyBorder="1" applyAlignment="1">
      <alignment horizontal="center" wrapText="1"/>
    </xf>
    <xf numFmtId="0" fontId="16" fillId="4" borderId="11" xfId="0" applyFont="1" applyFill="1" applyBorder="1" applyAlignment="1">
      <alignment horizontal="center" wrapText="1"/>
    </xf>
    <xf numFmtId="0" fontId="17" fillId="2" borderId="0" xfId="0" applyFont="1" applyFill="1" applyAlignment="1">
      <alignment horizontal="center" wrapText="1"/>
    </xf>
    <xf numFmtId="0" fontId="17" fillId="2" borderId="11" xfId="0" applyFont="1" applyFill="1" applyBorder="1" applyAlignment="1">
      <alignment horizontal="center" wrapText="1"/>
    </xf>
    <xf numFmtId="0" fontId="17" fillId="3" borderId="0" xfId="0" applyFont="1" applyFill="1" applyAlignment="1">
      <alignment horizontal="center" wrapText="1"/>
    </xf>
    <xf numFmtId="0" fontId="17" fillId="4" borderId="0" xfId="0" applyFont="1" applyFill="1" applyAlignment="1">
      <alignment horizontal="center" wrapText="1"/>
    </xf>
    <xf numFmtId="0" fontId="17" fillId="4" borderId="11" xfId="0" applyFont="1" applyFill="1" applyBorder="1" applyAlignment="1">
      <alignment horizontal="center" wrapText="1"/>
    </xf>
    <xf numFmtId="0" fontId="1" fillId="0" borderId="0" xfId="0" applyFont="1" applyFill="1" applyBorder="1"/>
    <xf numFmtId="0" fontId="0" fillId="0" borderId="12" xfId="0" applyBorder="1" applyAlignment="1">
      <alignment horizontal="center"/>
    </xf>
    <xf numFmtId="10" fontId="0" fillId="0" borderId="0" xfId="1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1" xfId="0" applyFill="1" applyBorder="1" applyAlignment="1">
      <alignment horizontal="center"/>
    </xf>
    <xf numFmtId="1" fontId="1" fillId="0" borderId="1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6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6" xfId="0" applyBorder="1"/>
    <xf numFmtId="9" fontId="0" fillId="0" borderId="9" xfId="1" applyFont="1" applyBorder="1" applyAlignment="1">
      <alignment horizontal="center"/>
    </xf>
    <xf numFmtId="0" fontId="0" fillId="0" borderId="10" xfId="0" applyBorder="1"/>
    <xf numFmtId="0" fontId="1" fillId="0" borderId="7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1" fillId="0" borderId="0" xfId="0" applyFont="1" applyBorder="1"/>
    <xf numFmtId="0" fontId="18" fillId="3" borderId="0" xfId="0" applyFont="1" applyFill="1" applyAlignment="1">
      <alignment horizontal="center" wrapText="1"/>
    </xf>
    <xf numFmtId="0" fontId="18" fillId="3" borderId="11" xfId="0" applyFont="1" applyFill="1" applyBorder="1" applyAlignment="1">
      <alignment horizontal="center" wrapText="1"/>
    </xf>
    <xf numFmtId="1" fontId="1" fillId="0" borderId="0" xfId="0" applyNumberFormat="1" applyFont="1" applyBorder="1" applyAlignment="1">
      <alignment horizontal="center"/>
    </xf>
    <xf numFmtId="1" fontId="0" fillId="0" borderId="0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1" applyNumberFormat="1" applyFont="1" applyAlignment="1">
      <alignment horizontal="center"/>
    </xf>
    <xf numFmtId="0" fontId="6" fillId="0" borderId="0" xfId="0" applyFont="1" applyBorder="1"/>
    <xf numFmtId="1" fontId="0" fillId="0" borderId="0" xfId="0" applyNumberFormat="1" applyBorder="1"/>
    <xf numFmtId="0" fontId="6" fillId="0" borderId="0" xfId="0" applyFont="1" applyFill="1" applyBorder="1"/>
    <xf numFmtId="0" fontId="19" fillId="0" borderId="0" xfId="0" applyFont="1"/>
    <xf numFmtId="0" fontId="20" fillId="0" borderId="0" xfId="0" applyFont="1"/>
    <xf numFmtId="0" fontId="21" fillId="0" borderId="0" xfId="0" applyFont="1"/>
    <xf numFmtId="0" fontId="22" fillId="0" borderId="0" xfId="0" applyFont="1"/>
    <xf numFmtId="0" fontId="23" fillId="0" borderId="0" xfId="0" applyFont="1"/>
    <xf numFmtId="0" fontId="24" fillId="0" borderId="0" xfId="0" applyFont="1"/>
    <xf numFmtId="9" fontId="0" fillId="0" borderId="0" xfId="1" applyFont="1" applyAlignment="1">
      <alignment horizontal="center"/>
    </xf>
    <xf numFmtId="9" fontId="0" fillId="0" borderId="0" xfId="1" applyFont="1"/>
    <xf numFmtId="9" fontId="0" fillId="0" borderId="0" xfId="0" applyNumberFormat="1" applyAlignment="1">
      <alignment horizontal="center"/>
    </xf>
    <xf numFmtId="0" fontId="0" fillId="0" borderId="13" xfId="0" applyBorder="1"/>
    <xf numFmtId="0" fontId="0" fillId="0" borderId="13" xfId="0" applyBorder="1" applyAlignment="1">
      <alignment horizontal="center"/>
    </xf>
    <xf numFmtId="0" fontId="7" fillId="0" borderId="7" xfId="0" applyFont="1" applyBorder="1"/>
    <xf numFmtId="0" fontId="11" fillId="0" borderId="2" xfId="0" applyFont="1" applyBorder="1"/>
    <xf numFmtId="0" fontId="2" fillId="0" borderId="8" xfId="0" applyFont="1" applyBorder="1"/>
    <xf numFmtId="0" fontId="4" fillId="0" borderId="8" xfId="0" applyFont="1" applyBorder="1"/>
    <xf numFmtId="0" fontId="5" fillId="0" borderId="8" xfId="0" applyFont="1" applyBorder="1"/>
    <xf numFmtId="9" fontId="0" fillId="0" borderId="0" xfId="1" applyFont="1" applyBorder="1" applyAlignment="1"/>
    <xf numFmtId="0" fontId="0" fillId="0" borderId="0" xfId="0" applyFont="1" applyFill="1" applyBorder="1"/>
    <xf numFmtId="10" fontId="0" fillId="0" borderId="7" xfId="1" applyNumberFormat="1" applyFont="1" applyFill="1" applyBorder="1" applyAlignment="1">
      <alignment horizontal="center"/>
    </xf>
    <xf numFmtId="10" fontId="0" fillId="0" borderId="0" xfId="1" applyNumberFormat="1" applyFont="1" applyFill="1" applyBorder="1" applyAlignment="1">
      <alignment horizontal="center"/>
    </xf>
    <xf numFmtId="10" fontId="0" fillId="0" borderId="2" xfId="1" applyNumberFormat="1" applyFont="1" applyFill="1" applyBorder="1" applyAlignment="1">
      <alignment horizontal="center"/>
    </xf>
    <xf numFmtId="10" fontId="0" fillId="0" borderId="8" xfId="1" applyNumberFormat="1" applyFont="1" applyFill="1" applyBorder="1" applyAlignment="1">
      <alignment horizontal="center"/>
    </xf>
    <xf numFmtId="10" fontId="0" fillId="0" borderId="1" xfId="1" applyNumberFormat="1" applyFont="1" applyFill="1" applyBorder="1" applyAlignment="1">
      <alignment horizontal="center"/>
    </xf>
    <xf numFmtId="10" fontId="0" fillId="0" borderId="3" xfId="1" applyNumberFormat="1" applyFont="1" applyFill="1" applyBorder="1" applyAlignment="1">
      <alignment horizontal="center"/>
    </xf>
    <xf numFmtId="0" fontId="7" fillId="0" borderId="0" xfId="0" applyFont="1" applyFill="1" applyBorder="1" applyAlignment="1"/>
    <xf numFmtId="9" fontId="0" fillId="0" borderId="0" xfId="1" applyFont="1" applyBorder="1" applyAlignment="1">
      <alignment horizontal="center"/>
    </xf>
    <xf numFmtId="0" fontId="9" fillId="0" borderId="7" xfId="0" applyFont="1" applyBorder="1"/>
    <xf numFmtId="9" fontId="0" fillId="0" borderId="9" xfId="1" applyFont="1" applyBorder="1"/>
    <xf numFmtId="0" fontId="0" fillId="0" borderId="14" xfId="0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3" xfId="0" applyNumberFormat="1" applyFont="1" applyBorder="1" applyAlignment="1">
      <alignment horizontal="center"/>
    </xf>
    <xf numFmtId="9" fontId="0" fillId="0" borderId="0" xfId="1" applyFont="1" applyBorder="1"/>
    <xf numFmtId="9" fontId="0" fillId="0" borderId="2" xfId="1" applyFont="1" applyBorder="1"/>
    <xf numFmtId="9" fontId="0" fillId="0" borderId="0" xfId="1" applyFont="1" applyFill="1" applyBorder="1"/>
    <xf numFmtId="9" fontId="0" fillId="0" borderId="2" xfId="1" applyFont="1" applyFill="1" applyBorder="1"/>
    <xf numFmtId="9" fontId="0" fillId="0" borderId="10" xfId="1" applyFont="1" applyBorder="1"/>
    <xf numFmtId="9" fontId="0" fillId="0" borderId="4" xfId="1" applyFont="1" applyBorder="1"/>
    <xf numFmtId="9" fontId="0" fillId="0" borderId="0" xfId="1" applyFont="1" applyFill="1" applyBorder="1" applyAlignment="1"/>
    <xf numFmtId="9" fontId="0" fillId="0" borderId="7" xfId="1" applyFont="1" applyBorder="1"/>
    <xf numFmtId="9" fontId="0" fillId="0" borderId="7" xfId="1" applyFont="1" applyFill="1" applyBorder="1"/>
    <xf numFmtId="0" fontId="1" fillId="0" borderId="6" xfId="0" applyFont="1" applyBorder="1" applyAlignment="1">
      <alignment horizontal="center"/>
    </xf>
    <xf numFmtId="0" fontId="0" fillId="0" borderId="12" xfId="0" applyBorder="1"/>
    <xf numFmtId="0" fontId="0" fillId="0" borderId="14" xfId="0" applyBorder="1"/>
    <xf numFmtId="9" fontId="0" fillId="0" borderId="10" xfId="1" applyFont="1" applyBorder="1" applyAlignment="1">
      <alignment horizontal="center"/>
    </xf>
    <xf numFmtId="1" fontId="0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7" fillId="0" borderId="12" xfId="0" applyFont="1" applyFill="1" applyBorder="1" applyAlignment="1">
      <alignment horizontal="left"/>
    </xf>
    <xf numFmtId="0" fontId="0" fillId="0" borderId="15" xfId="0" applyBorder="1" applyAlignment="1">
      <alignment horizontal="center"/>
    </xf>
    <xf numFmtId="0" fontId="10" fillId="0" borderId="0" xfId="0" applyFont="1" applyFill="1" applyBorder="1"/>
    <xf numFmtId="0" fontId="1" fillId="0" borderId="8" xfId="0" applyFont="1" applyBorder="1"/>
    <xf numFmtId="0" fontId="6" fillId="0" borderId="8" xfId="0" applyFont="1" applyBorder="1"/>
    <xf numFmtId="0" fontId="10" fillId="0" borderId="7" xfId="0" applyFont="1" applyFill="1" applyBorder="1"/>
    <xf numFmtId="0" fontId="0" fillId="0" borderId="8" xfId="0" applyFill="1" applyBorder="1"/>
    <xf numFmtId="0" fontId="7" fillId="0" borderId="1" xfId="0" applyFont="1" applyFill="1" applyBorder="1"/>
    <xf numFmtId="0" fontId="10" fillId="0" borderId="0" xfId="0" applyFont="1" applyFill="1" applyBorder="1"/>
    <xf numFmtId="0" fontId="10" fillId="0" borderId="9" xfId="0" applyFont="1" applyBorder="1"/>
    <xf numFmtId="0" fontId="5" fillId="0" borderId="0" xfId="0" applyFont="1" applyFill="1" applyBorder="1"/>
    <xf numFmtId="0" fontId="5" fillId="0" borderId="0" xfId="0" applyFont="1" applyBorder="1"/>
    <xf numFmtId="0" fontId="28" fillId="0" borderId="0" xfId="3" applyFont="1" applyAlignment="1">
      <alignment horizontal="center"/>
    </xf>
    <xf numFmtId="0" fontId="0" fillId="0" borderId="0" xfId="1" applyNumberFormat="1" applyFont="1" applyBorder="1" applyAlignment="1"/>
    <xf numFmtId="0" fontId="0" fillId="0" borderId="0" xfId="0" applyBorder="1" applyAlignment="1"/>
    <xf numFmtId="0" fontId="0" fillId="5" borderId="0" xfId="0" applyFill="1"/>
    <xf numFmtId="0" fontId="0" fillId="5" borderId="0" xfId="0" applyFont="1" applyFill="1"/>
    <xf numFmtId="0" fontId="32" fillId="0" borderId="1" xfId="3" applyFont="1" applyBorder="1"/>
    <xf numFmtId="0" fontId="33" fillId="0" borderId="1" xfId="3" applyFont="1" applyBorder="1"/>
    <xf numFmtId="0" fontId="34" fillId="0" borderId="1" xfId="3" applyFont="1" applyBorder="1"/>
    <xf numFmtId="0" fontId="0" fillId="0" borderId="9" xfId="0" applyFill="1" applyBorder="1" applyAlignment="1">
      <alignment horizontal="center"/>
    </xf>
    <xf numFmtId="0" fontId="5" fillId="0" borderId="0" xfId="0" applyFont="1"/>
    <xf numFmtId="0" fontId="1" fillId="0" borderId="0" xfId="0" applyFont="1" applyAlignment="1"/>
    <xf numFmtId="0" fontId="6" fillId="0" borderId="6" xfId="0" applyFont="1" applyBorder="1"/>
    <xf numFmtId="0" fontId="6" fillId="0" borderId="9" xfId="0" applyFont="1" applyBorder="1"/>
    <xf numFmtId="0" fontId="0" fillId="0" borderId="0" xfId="0" applyBorder="1" applyAlignment="1"/>
    <xf numFmtId="0" fontId="0" fillId="0" borderId="0" xfId="0" applyBorder="1" applyAlignment="1">
      <alignment horizontal="center"/>
    </xf>
    <xf numFmtId="0" fontId="0" fillId="0" borderId="0" xfId="0" applyFont="1" applyBorder="1"/>
    <xf numFmtId="0" fontId="3" fillId="0" borderId="0" xfId="0" applyFont="1" applyBorder="1"/>
    <xf numFmtId="0" fontId="0" fillId="0" borderId="0" xfId="0" applyFont="1" applyBorder="1" applyAlignment="1"/>
    <xf numFmtId="0" fontId="7" fillId="0" borderId="0" xfId="0" applyFont="1" applyBorder="1" applyAlignment="1"/>
    <xf numFmtId="0" fontId="6" fillId="0" borderId="0" xfId="0" applyFont="1" applyBorder="1" applyAlignment="1">
      <alignment horizontal="center"/>
    </xf>
    <xf numFmtId="0" fontId="2" fillId="0" borderId="0" xfId="0" applyFont="1" applyBorder="1"/>
    <xf numFmtId="0" fontId="3" fillId="0" borderId="0" xfId="0" applyFont="1" applyFill="1" applyBorder="1"/>
    <xf numFmtId="0" fontId="0" fillId="0" borderId="0" xfId="0" applyFont="1" applyFill="1" applyBorder="1" applyAlignment="1">
      <alignment horizontal="center"/>
    </xf>
    <xf numFmtId="0" fontId="15" fillId="0" borderId="0" xfId="0" applyFont="1" applyBorder="1"/>
    <xf numFmtId="0" fontId="25" fillId="0" borderId="0" xfId="0" applyFont="1" applyBorder="1"/>
    <xf numFmtId="2" fontId="0" fillId="0" borderId="0" xfId="0" applyNumberFormat="1" applyBorder="1"/>
    <xf numFmtId="0" fontId="0" fillId="0" borderId="0" xfId="0" applyFill="1"/>
    <xf numFmtId="9" fontId="0" fillId="0" borderId="0" xfId="1" applyFont="1" applyFill="1" applyBorder="1" applyAlignment="1">
      <alignment horizontal="center"/>
    </xf>
    <xf numFmtId="14" fontId="7" fillId="0" borderId="0" xfId="0" applyNumberFormat="1" applyFont="1" applyFill="1" applyBorder="1"/>
    <xf numFmtId="14" fontId="0" fillId="0" borderId="0" xfId="0" applyNumberFormat="1" applyFill="1" applyBorder="1"/>
    <xf numFmtId="0" fontId="15" fillId="0" borderId="0" xfId="0" applyFont="1" applyFill="1" applyBorder="1"/>
    <xf numFmtId="0" fontId="1" fillId="0" borderId="0" xfId="0" applyFont="1" applyFill="1" applyBorder="1" applyAlignment="1">
      <alignment horizontal="center"/>
    </xf>
    <xf numFmtId="0" fontId="26" fillId="0" borderId="0" xfId="2" applyFill="1" applyBorder="1" applyAlignment="1" applyProtection="1"/>
    <xf numFmtId="9" fontId="0" fillId="0" borderId="0" xfId="0" applyNumberFormat="1" applyFill="1" applyBorder="1"/>
    <xf numFmtId="0" fontId="2" fillId="0" borderId="0" xfId="0" applyFont="1" applyFill="1" applyBorder="1"/>
    <xf numFmtId="0" fontId="0" fillId="0" borderId="0" xfId="0" applyFont="1" applyBorder="1" applyAlignment="1">
      <alignment horizontal="left"/>
    </xf>
    <xf numFmtId="10" fontId="14" fillId="0" borderId="0" xfId="1" applyNumberFormat="1" applyFont="1" applyFill="1" applyBorder="1" applyAlignment="1">
      <alignment horizontal="center"/>
    </xf>
    <xf numFmtId="0" fontId="1" fillId="0" borderId="9" xfId="0" applyFont="1" applyFill="1" applyBorder="1"/>
    <xf numFmtId="0" fontId="0" fillId="0" borderId="9" xfId="0" applyFont="1" applyFill="1" applyBorder="1"/>
    <xf numFmtId="0" fontId="37" fillId="0" borderId="0" xfId="0" applyFont="1" applyAlignment="1">
      <alignment horizontal="center"/>
    </xf>
    <xf numFmtId="0" fontId="7" fillId="0" borderId="7" xfId="0" applyFont="1" applyBorder="1" applyProtection="1">
      <protection locked="0"/>
    </xf>
    <xf numFmtId="0" fontId="7" fillId="0" borderId="0" xfId="0" applyFont="1" applyBorder="1" applyProtection="1">
      <protection locked="0"/>
    </xf>
    <xf numFmtId="0" fontId="0" fillId="0" borderId="0" xfId="0" applyProtection="1">
      <protection locked="0"/>
    </xf>
    <xf numFmtId="9" fontId="0" fillId="0" borderId="9" xfId="1" applyFont="1" applyBorder="1" applyAlignment="1" applyProtection="1">
      <alignment horizontal="center"/>
      <protection locked="0"/>
    </xf>
    <xf numFmtId="0" fontId="0" fillId="0" borderId="0" xfId="1" applyNumberFormat="1" applyFont="1" applyAlignment="1" applyProtection="1">
      <alignment horizontal="center"/>
      <protection locked="0"/>
    </xf>
    <xf numFmtId="0" fontId="10" fillId="0" borderId="0" xfId="0" applyFont="1" applyBorder="1" applyProtection="1">
      <protection locked="0"/>
    </xf>
    <xf numFmtId="0" fontId="0" fillId="0" borderId="0" xfId="0" applyBorder="1" applyProtection="1">
      <protection locked="0"/>
    </xf>
    <xf numFmtId="9" fontId="0" fillId="0" borderId="0" xfId="1" applyFont="1" applyBorder="1" applyAlignment="1" applyProtection="1">
      <alignment horizontal="center"/>
      <protection locked="0"/>
    </xf>
    <xf numFmtId="1" fontId="1" fillId="0" borderId="0" xfId="0" applyNumberFormat="1" applyFont="1" applyBorder="1" applyAlignment="1" applyProtection="1">
      <alignment horizontal="center"/>
      <protection locked="0"/>
    </xf>
    <xf numFmtId="0" fontId="6" fillId="0" borderId="7" xfId="0" applyFont="1" applyBorder="1" applyProtection="1">
      <protection locked="0"/>
    </xf>
    <xf numFmtId="0" fontId="35" fillId="0" borderId="16" xfId="3" applyFont="1" applyBorder="1" applyProtection="1">
      <protection locked="0"/>
    </xf>
    <xf numFmtId="0" fontId="28" fillId="0" borderId="16" xfId="3" applyFont="1" applyBorder="1" applyAlignment="1" applyProtection="1">
      <alignment horizontal="center"/>
      <protection locked="0"/>
    </xf>
    <xf numFmtId="0" fontId="28" fillId="0" borderId="4" xfId="3" applyFont="1" applyBorder="1" applyAlignment="1" applyProtection="1">
      <alignment horizontal="center"/>
      <protection locked="0"/>
    </xf>
    <xf numFmtId="0" fontId="28" fillId="0" borderId="5" xfId="3" applyFont="1" applyBorder="1" applyAlignment="1" applyProtection="1">
      <alignment horizontal="center"/>
      <protection locked="0"/>
    </xf>
    <xf numFmtId="9" fontId="0" fillId="0" borderId="16" xfId="1" applyFont="1" applyBorder="1" applyAlignment="1" applyProtection="1">
      <alignment horizontal="center"/>
      <protection locked="0"/>
    </xf>
    <xf numFmtId="9" fontId="0" fillId="0" borderId="4" xfId="1" applyFont="1" applyBorder="1" applyAlignment="1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0" fontId="1" fillId="0" borderId="7" xfId="0" applyFont="1" applyBorder="1" applyAlignment="1" applyProtection="1">
      <alignment horizontal="center"/>
      <protection locked="0"/>
    </xf>
    <xf numFmtId="0" fontId="1" fillId="0" borderId="8" xfId="0" applyFont="1" applyBorder="1" applyAlignment="1" applyProtection="1">
      <alignment horizontal="center"/>
      <protection locked="0"/>
    </xf>
    <xf numFmtId="1" fontId="0" fillId="0" borderId="0" xfId="0" applyNumberFormat="1" applyFont="1" applyBorder="1" applyAlignment="1" applyProtection="1">
      <alignment horizontal="center"/>
      <protection locked="0"/>
    </xf>
    <xf numFmtId="1" fontId="7" fillId="0" borderId="0" xfId="0" applyNumberFormat="1" applyFont="1" applyBorder="1" applyAlignment="1" applyProtection="1">
      <alignment horizontal="center"/>
      <protection locked="0"/>
    </xf>
    <xf numFmtId="0" fontId="5" fillId="0" borderId="0" xfId="0" applyFont="1" applyFill="1" applyBorder="1" applyProtection="1">
      <protection locked="0"/>
    </xf>
    <xf numFmtId="1" fontId="12" fillId="0" borderId="0" xfId="0" applyNumberFormat="1" applyFont="1" applyBorder="1" applyAlignment="1" applyProtection="1">
      <alignment horizontal="center"/>
      <protection locked="0"/>
    </xf>
    <xf numFmtId="0" fontId="5" fillId="0" borderId="0" xfId="0" applyFont="1" applyBorder="1" applyProtection="1">
      <protection locked="0"/>
    </xf>
    <xf numFmtId="1" fontId="36" fillId="0" borderId="0" xfId="0" applyNumberFormat="1" applyFont="1" applyBorder="1" applyAlignment="1" applyProtection="1">
      <alignment horizontal="center"/>
      <protection locked="0"/>
    </xf>
    <xf numFmtId="1" fontId="6" fillId="0" borderId="0" xfId="0" applyNumberFormat="1" applyFon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5" borderId="0" xfId="0" applyFont="1" applyFill="1" applyAlignment="1" applyProtection="1">
      <alignment horizontal="center"/>
      <protection locked="0"/>
    </xf>
    <xf numFmtId="0" fontId="0" fillId="5" borderId="0" xfId="0" applyFill="1" applyProtection="1">
      <protection locked="0"/>
    </xf>
    <xf numFmtId="0" fontId="0" fillId="0" borderId="0" xfId="0" applyBorder="1" applyAlignment="1"/>
    <xf numFmtId="0" fontId="0" fillId="0" borderId="0" xfId="0" applyBorder="1" applyAlignment="1">
      <alignment horizontal="center"/>
    </xf>
    <xf numFmtId="1" fontId="15" fillId="0" borderId="9" xfId="0" applyNumberFormat="1" applyFont="1" applyBorder="1" applyAlignment="1" applyProtection="1">
      <alignment horizontal="center"/>
    </xf>
    <xf numFmtId="1" fontId="0" fillId="0" borderId="0" xfId="0" applyNumberFormat="1" applyFont="1" applyBorder="1" applyAlignment="1" applyProtection="1">
      <alignment horizontal="center"/>
    </xf>
    <xf numFmtId="1" fontId="0" fillId="0" borderId="1" xfId="0" applyNumberFormat="1" applyFont="1" applyBorder="1" applyAlignment="1" applyProtection="1">
      <alignment horizontal="center"/>
    </xf>
    <xf numFmtId="1" fontId="0" fillId="0" borderId="9" xfId="0" applyNumberFormat="1" applyFont="1" applyBorder="1" applyAlignment="1" applyProtection="1">
      <alignment horizontal="center"/>
    </xf>
    <xf numFmtId="1" fontId="15" fillId="0" borderId="1" xfId="0" applyNumberFormat="1" applyFont="1" applyBorder="1" applyAlignment="1" applyProtection="1">
      <alignment horizontal="center"/>
    </xf>
    <xf numFmtId="1" fontId="7" fillId="0" borderId="6" xfId="0" applyNumberFormat="1" applyFont="1" applyBorder="1" applyAlignment="1" applyProtection="1">
      <alignment horizontal="center"/>
    </xf>
    <xf numFmtId="1" fontId="7" fillId="0" borderId="7" xfId="0" applyNumberFormat="1" applyFont="1" applyBorder="1" applyAlignment="1" applyProtection="1">
      <alignment horizontal="center"/>
    </xf>
    <xf numFmtId="1" fontId="7" fillId="0" borderId="8" xfId="0" applyNumberFormat="1" applyFont="1" applyBorder="1" applyAlignment="1" applyProtection="1">
      <alignment horizontal="center"/>
    </xf>
    <xf numFmtId="1" fontId="7" fillId="0" borderId="9" xfId="0" applyNumberFormat="1" applyFont="1" applyBorder="1" applyAlignment="1" applyProtection="1">
      <alignment horizontal="center"/>
    </xf>
    <xf numFmtId="1" fontId="7" fillId="0" borderId="0" xfId="0" applyNumberFormat="1" applyFont="1" applyBorder="1" applyAlignment="1" applyProtection="1">
      <alignment horizontal="center"/>
    </xf>
    <xf numFmtId="1" fontId="7" fillId="0" borderId="1" xfId="0" applyNumberFormat="1" applyFont="1" applyBorder="1" applyAlignment="1" applyProtection="1">
      <alignment horizontal="center"/>
    </xf>
    <xf numFmtId="1" fontId="7" fillId="0" borderId="2" xfId="0" applyNumberFormat="1" applyFont="1" applyBorder="1" applyAlignment="1" applyProtection="1">
      <alignment horizontal="center"/>
    </xf>
    <xf numFmtId="1" fontId="7" fillId="0" borderId="3" xfId="0" applyNumberFormat="1" applyFont="1" applyBorder="1" applyAlignment="1" applyProtection="1">
      <alignment horizontal="center"/>
    </xf>
    <xf numFmtId="0" fontId="6" fillId="0" borderId="6" xfId="0" applyFont="1" applyFill="1" applyBorder="1" applyProtection="1"/>
    <xf numFmtId="0" fontId="0" fillId="0" borderId="9" xfId="0" applyBorder="1" applyProtection="1"/>
    <xf numFmtId="0" fontId="0" fillId="0" borderId="0" xfId="0" applyBorder="1" applyProtection="1"/>
    <xf numFmtId="0" fontId="0" fillId="0" borderId="0" xfId="0" applyBorder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0" fontId="0" fillId="0" borderId="1" xfId="0" applyFill="1" applyBorder="1" applyAlignment="1" applyProtection="1">
      <alignment horizontal="center"/>
    </xf>
    <xf numFmtId="0" fontId="0" fillId="0" borderId="0" xfId="0" applyProtection="1"/>
    <xf numFmtId="0" fontId="7" fillId="0" borderId="7" xfId="0" applyFont="1" applyBorder="1" applyProtection="1"/>
    <xf numFmtId="0" fontId="7" fillId="0" borderId="0" xfId="0" applyNumberFormat="1" applyFont="1" applyBorder="1" applyAlignment="1" applyProtection="1">
      <alignment horizontal="center"/>
    </xf>
    <xf numFmtId="0" fontId="7" fillId="0" borderId="0" xfId="0" applyFont="1" applyBorder="1" applyAlignment="1" applyProtection="1">
      <alignment horizontal="center"/>
    </xf>
    <xf numFmtId="0" fontId="29" fillId="0" borderId="0" xfId="0" applyFont="1" applyBorder="1" applyAlignment="1" applyProtection="1">
      <alignment horizontal="center"/>
    </xf>
    <xf numFmtId="0" fontId="0" fillId="0" borderId="6" xfId="0" applyBorder="1" applyAlignment="1" applyProtection="1">
      <alignment horizontal="center"/>
    </xf>
    <xf numFmtId="0" fontId="0" fillId="0" borderId="7" xfId="0" applyBorder="1" applyProtection="1"/>
    <xf numFmtId="0" fontId="0" fillId="0" borderId="6" xfId="0" applyBorder="1" applyProtection="1"/>
    <xf numFmtId="0" fontId="0" fillId="0" borderId="8" xfId="0" applyBorder="1" applyProtection="1"/>
    <xf numFmtId="0" fontId="6" fillId="0" borderId="9" xfId="0" applyFont="1" applyBorder="1" applyProtection="1"/>
    <xf numFmtId="0" fontId="7" fillId="0" borderId="0" xfId="0" applyFont="1" applyBorder="1" applyProtection="1"/>
    <xf numFmtId="0" fontId="0" fillId="0" borderId="1" xfId="0" applyBorder="1" applyAlignment="1" applyProtection="1">
      <alignment horizontal="center"/>
    </xf>
    <xf numFmtId="9" fontId="0" fillId="0" borderId="0" xfId="1" applyFont="1" applyBorder="1" applyAlignment="1" applyProtection="1">
      <alignment horizontal="center"/>
    </xf>
    <xf numFmtId="0" fontId="0" fillId="0" borderId="0" xfId="1" applyNumberFormat="1" applyFont="1" applyBorder="1" applyAlignment="1" applyProtection="1"/>
    <xf numFmtId="9" fontId="0" fillId="0" borderId="9" xfId="1" applyFont="1" applyBorder="1" applyAlignment="1" applyProtection="1">
      <alignment horizontal="center"/>
    </xf>
    <xf numFmtId="0" fontId="0" fillId="0" borderId="1" xfId="0" applyBorder="1" applyProtection="1"/>
    <xf numFmtId="0" fontId="10" fillId="0" borderId="0" xfId="0" applyFont="1" applyBorder="1" applyProtection="1"/>
    <xf numFmtId="9" fontId="0" fillId="0" borderId="0" xfId="1" applyFont="1" applyBorder="1" applyAlignment="1" applyProtection="1"/>
    <xf numFmtId="0" fontId="0" fillId="0" borderId="9" xfId="0" applyFill="1" applyBorder="1" applyProtection="1"/>
    <xf numFmtId="1" fontId="0" fillId="0" borderId="0" xfId="0" applyNumberFormat="1" applyBorder="1" applyProtection="1"/>
    <xf numFmtId="9" fontId="0" fillId="0" borderId="0" xfId="0" applyNumberFormat="1" applyBorder="1" applyAlignment="1" applyProtection="1">
      <alignment horizontal="center"/>
    </xf>
    <xf numFmtId="0" fontId="0" fillId="0" borderId="0" xfId="0" applyFill="1" applyBorder="1" applyProtection="1"/>
    <xf numFmtId="9" fontId="0" fillId="0" borderId="10" xfId="1" applyFont="1" applyBorder="1" applyAlignment="1" applyProtection="1">
      <alignment horizontal="center"/>
    </xf>
    <xf numFmtId="0" fontId="1" fillId="0" borderId="0" xfId="0" applyFont="1" applyBorder="1" applyAlignment="1" applyProtection="1">
      <alignment horizontal="center"/>
    </xf>
    <xf numFmtId="0" fontId="0" fillId="0" borderId="10" xfId="0" applyBorder="1" applyAlignment="1" applyProtection="1">
      <alignment horizontal="center"/>
    </xf>
    <xf numFmtId="0" fontId="0" fillId="0" borderId="10" xfId="0" applyBorder="1" applyProtection="1"/>
    <xf numFmtId="0" fontId="1" fillId="0" borderId="6" xfId="0" applyFont="1" applyBorder="1" applyAlignment="1" applyProtection="1">
      <alignment horizontal="center"/>
    </xf>
    <xf numFmtId="0" fontId="1" fillId="0" borderId="7" xfId="0" applyFont="1" applyBorder="1" applyAlignment="1" applyProtection="1">
      <alignment horizontal="center"/>
    </xf>
    <xf numFmtId="0" fontId="1" fillId="0" borderId="8" xfId="0" applyFont="1" applyBorder="1" applyAlignment="1" applyProtection="1">
      <alignment horizontal="center"/>
    </xf>
    <xf numFmtId="0" fontId="0" fillId="0" borderId="14" xfId="0" applyBorder="1" applyProtection="1"/>
    <xf numFmtId="0" fontId="0" fillId="0" borderId="9" xfId="0" applyBorder="1" applyAlignment="1" applyProtection="1">
      <alignment horizontal="left"/>
    </xf>
    <xf numFmtId="10" fontId="0" fillId="0" borderId="7" xfId="1" applyNumberFormat="1" applyFont="1" applyFill="1" applyBorder="1" applyAlignment="1" applyProtection="1">
      <alignment horizontal="center"/>
    </xf>
    <xf numFmtId="0" fontId="0" fillId="0" borderId="7" xfId="0" applyFill="1" applyBorder="1" applyProtection="1"/>
    <xf numFmtId="10" fontId="0" fillId="0" borderId="8" xfId="1" applyNumberFormat="1" applyFont="1" applyFill="1" applyBorder="1" applyAlignment="1" applyProtection="1">
      <alignment horizontal="center"/>
    </xf>
    <xf numFmtId="1" fontId="1" fillId="0" borderId="0" xfId="0" applyNumberFormat="1" applyFont="1" applyBorder="1" applyAlignment="1" applyProtection="1">
      <alignment horizontal="center"/>
    </xf>
    <xf numFmtId="1" fontId="1" fillId="0" borderId="1" xfId="0" applyNumberFormat="1" applyFont="1" applyBorder="1" applyAlignment="1" applyProtection="1">
      <alignment horizontal="center"/>
    </xf>
    <xf numFmtId="0" fontId="0" fillId="0" borderId="12" xfId="0" applyBorder="1" applyProtection="1"/>
    <xf numFmtId="10" fontId="0" fillId="0" borderId="0" xfId="1" applyNumberFormat="1" applyFont="1" applyFill="1" applyBorder="1" applyAlignment="1" applyProtection="1">
      <alignment horizontal="center"/>
    </xf>
    <xf numFmtId="10" fontId="0" fillId="0" borderId="1" xfId="1" applyNumberFormat="1" applyFont="1" applyFill="1" applyBorder="1" applyAlignment="1" applyProtection="1">
      <alignment horizontal="center"/>
    </xf>
    <xf numFmtId="0" fontId="1" fillId="0" borderId="10" xfId="0" applyFont="1" applyFill="1" applyBorder="1" applyProtection="1"/>
    <xf numFmtId="0" fontId="0" fillId="0" borderId="2" xfId="0" applyBorder="1" applyProtection="1"/>
    <xf numFmtId="0" fontId="0" fillId="0" borderId="2" xfId="0" applyBorder="1" applyAlignment="1" applyProtection="1">
      <alignment horizontal="center"/>
    </xf>
    <xf numFmtId="0" fontId="0" fillId="0" borderId="10" xfId="0" applyBorder="1" applyAlignment="1" applyProtection="1">
      <alignment horizontal="left"/>
    </xf>
    <xf numFmtId="10" fontId="0" fillId="0" borderId="2" xfId="1" applyNumberFormat="1" applyFont="1" applyFill="1" applyBorder="1" applyAlignment="1" applyProtection="1">
      <alignment horizontal="center"/>
    </xf>
    <xf numFmtId="10" fontId="0" fillId="0" borderId="3" xfId="1" applyNumberFormat="1" applyFont="1" applyFill="1" applyBorder="1" applyAlignment="1" applyProtection="1">
      <alignment horizontal="center"/>
    </xf>
    <xf numFmtId="1" fontId="1" fillId="0" borderId="2" xfId="0" applyNumberFormat="1" applyFont="1" applyBorder="1" applyAlignment="1" applyProtection="1">
      <alignment horizontal="center"/>
    </xf>
    <xf numFmtId="1" fontId="1" fillId="0" borderId="3" xfId="0" applyNumberFormat="1" applyFont="1" applyBorder="1" applyAlignment="1" applyProtection="1">
      <alignment horizontal="center"/>
    </xf>
    <xf numFmtId="0" fontId="0" fillId="0" borderId="13" xfId="0" applyBorder="1" applyProtection="1"/>
    <xf numFmtId="0" fontId="1" fillId="0" borderId="9" xfId="0" applyFont="1" applyFill="1" applyBorder="1" applyProtection="1"/>
    <xf numFmtId="0" fontId="0" fillId="0" borderId="0" xfId="0" applyBorder="1" applyAlignment="1" applyProtection="1">
      <alignment horizontal="left"/>
    </xf>
    <xf numFmtId="0" fontId="0" fillId="0" borderId="0" xfId="0" applyBorder="1" applyAlignment="1" applyProtection="1"/>
    <xf numFmtId="0" fontId="7" fillId="0" borderId="7" xfId="0" applyFont="1" applyBorder="1" applyAlignment="1" applyProtection="1">
      <alignment horizontal="center"/>
    </xf>
    <xf numFmtId="0" fontId="29" fillId="0" borderId="7" xfId="0" applyFont="1" applyBorder="1" applyAlignment="1" applyProtection="1">
      <alignment horizontal="center"/>
    </xf>
    <xf numFmtId="0" fontId="29" fillId="0" borderId="8" xfId="0" applyFont="1" applyBorder="1" applyAlignment="1" applyProtection="1">
      <alignment horizontal="center"/>
    </xf>
    <xf numFmtId="0" fontId="37" fillId="0" borderId="0" xfId="0" applyFont="1"/>
    <xf numFmtId="0" fontId="0" fillId="0" borderId="0" xfId="0" applyBorder="1" applyAlignment="1" applyProtection="1"/>
    <xf numFmtId="0" fontId="0" fillId="0" borderId="0" xfId="0" applyBorder="1" applyAlignment="1">
      <alignment horizontal="center"/>
    </xf>
    <xf numFmtId="0" fontId="6" fillId="0" borderId="6" xfId="0" applyFont="1" applyBorder="1" applyProtection="1"/>
    <xf numFmtId="0" fontId="8" fillId="0" borderId="0" xfId="0" applyFont="1" applyBorder="1" applyProtection="1">
      <protection locked="0"/>
    </xf>
    <xf numFmtId="0" fontId="3" fillId="0" borderId="0" xfId="0" applyFont="1" applyBorder="1" applyProtection="1"/>
    <xf numFmtId="0" fontId="6" fillId="0" borderId="0" xfId="0" applyFont="1" applyBorder="1" applyProtection="1"/>
    <xf numFmtId="0" fontId="1" fillId="0" borderId="0" xfId="0" applyFont="1" applyFill="1" applyBorder="1" applyProtection="1"/>
    <xf numFmtId="0" fontId="4" fillId="0" borderId="0" xfId="0" applyFont="1" applyBorder="1"/>
    <xf numFmtId="0" fontId="6" fillId="0" borderId="16" xfId="0" applyFont="1" applyBorder="1"/>
    <xf numFmtId="0" fontId="9" fillId="0" borderId="0" xfId="0" applyFont="1" applyBorder="1" applyProtection="1"/>
    <xf numFmtId="0" fontId="0" fillId="0" borderId="10" xfId="0" applyBorder="1" applyAlignment="1"/>
    <xf numFmtId="0" fontId="0" fillId="0" borderId="2" xfId="0" applyBorder="1" applyAlignment="1"/>
    <xf numFmtId="0" fontId="0" fillId="0" borderId="16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9" xfId="0" applyBorder="1" applyAlignment="1"/>
    <xf numFmtId="0" fontId="0" fillId="0" borderId="0" xfId="0" applyBorder="1" applyAlignment="1"/>
    <xf numFmtId="0" fontId="0" fillId="0" borderId="16" xfId="0" applyBorder="1" applyAlignment="1" applyProtection="1">
      <alignment horizontal="center"/>
    </xf>
    <xf numFmtId="0" fontId="0" fillId="0" borderId="5" xfId="0" applyBorder="1" applyAlignment="1" applyProtection="1">
      <alignment horizontal="center"/>
    </xf>
    <xf numFmtId="0" fontId="0" fillId="0" borderId="9" xfId="0" applyBorder="1" applyAlignment="1" applyProtection="1"/>
    <xf numFmtId="0" fontId="0" fillId="0" borderId="0" xfId="0" applyBorder="1" applyAlignment="1" applyProtection="1"/>
    <xf numFmtId="0" fontId="0" fillId="0" borderId="0" xfId="0" applyBorder="1" applyAlignment="1" applyProtection="1">
      <alignment horizontal="center"/>
    </xf>
    <xf numFmtId="0" fontId="0" fillId="0" borderId="10" xfId="0" applyBorder="1" applyAlignment="1" applyProtection="1"/>
    <xf numFmtId="0" fontId="0" fillId="0" borderId="2" xfId="0" applyBorder="1" applyAlignment="1" applyProtection="1"/>
    <xf numFmtId="0" fontId="0" fillId="0" borderId="0" xfId="0" applyBorder="1" applyAlignment="1">
      <alignment horizontal="center"/>
    </xf>
    <xf numFmtId="0" fontId="0" fillId="0" borderId="0" xfId="0" applyFont="1" applyBorder="1" applyAlignment="1"/>
  </cellXfs>
  <cellStyles count="4">
    <cellStyle name="Excel Built-in Normal" xfId="3"/>
    <cellStyle name="Hyperlink" xfId="2" builtinId="8"/>
    <cellStyle name="Normal" xfId="0" builtinId="0"/>
    <cellStyle name="Percent" xfId="1" builtinId="5"/>
  </cellStyles>
  <dxfs count="9">
    <dxf>
      <font>
        <color rgb="FF00B050"/>
      </font>
    </dxf>
    <dxf>
      <font>
        <b/>
        <i val="0"/>
        <color rgb="FF00B050"/>
      </font>
    </dxf>
    <dxf>
      <font>
        <b/>
        <i val="0"/>
        <color rgb="FF00206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Relationship Id="rId4" Type="http://schemas.openxmlformats.org/officeDocument/2006/relationships/control" Target="../activeX/activeX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Relationship Id="rId4" Type="http://schemas.openxmlformats.org/officeDocument/2006/relationships/control" Target="../activeX/activeX1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8"/>
  <dimension ref="A1:Q51"/>
  <sheetViews>
    <sheetView tabSelected="1" zoomScale="130" zoomScaleNormal="130" workbookViewId="0">
      <pane ySplit="1" topLeftCell="A2" activePane="bottomLeft" state="frozen"/>
      <selection pane="bottomLeft" activeCell="A37" sqref="A37"/>
    </sheetView>
  </sheetViews>
  <sheetFormatPr defaultRowHeight="15"/>
  <cols>
    <col min="1" max="1" width="21.5703125" customWidth="1"/>
    <col min="2" max="2" width="32.140625" customWidth="1"/>
    <col min="8" max="8" width="11.140625" customWidth="1"/>
    <col min="12" max="12" width="13.5703125" customWidth="1"/>
  </cols>
  <sheetData>
    <row r="1" spans="1:17">
      <c r="B1" t="s">
        <v>1</v>
      </c>
      <c r="C1" s="40" t="s">
        <v>561</v>
      </c>
      <c r="D1" s="40" t="s">
        <v>562</v>
      </c>
      <c r="E1" s="40" t="s">
        <v>563</v>
      </c>
      <c r="F1" s="22" t="s">
        <v>822</v>
      </c>
      <c r="G1" s="42" t="s">
        <v>823</v>
      </c>
      <c r="H1" s="42" t="s">
        <v>564</v>
      </c>
      <c r="I1" s="22" t="s">
        <v>822</v>
      </c>
      <c r="J1" s="42" t="s">
        <v>823</v>
      </c>
      <c r="K1" s="81" t="s">
        <v>564</v>
      </c>
    </row>
    <row r="2" spans="1:17" ht="22.5" customHeight="1">
      <c r="A2" s="209" t="s">
        <v>1206</v>
      </c>
      <c r="B2" s="200" t="s">
        <v>1207</v>
      </c>
      <c r="C2" s="43"/>
      <c r="D2" s="43"/>
      <c r="E2" s="43"/>
      <c r="F2" s="85"/>
      <c r="G2" s="44"/>
      <c r="H2" s="44"/>
      <c r="I2" s="87"/>
      <c r="J2" s="44"/>
      <c r="K2" s="45"/>
      <c r="L2" s="87"/>
      <c r="M2" s="44"/>
      <c r="N2" s="44"/>
      <c r="O2" s="87"/>
      <c r="P2" s="44"/>
      <c r="Q2" s="45"/>
    </row>
    <row r="3" spans="1:17">
      <c r="A3" s="46" t="s">
        <v>631</v>
      </c>
      <c r="B3" s="9" t="s">
        <v>1000</v>
      </c>
      <c r="C3" s="22">
        <f>VLOOKUP(B3,Misc!A$25:'Misc'!D$31,2,FALSE)</f>
        <v>2</v>
      </c>
      <c r="D3" s="22">
        <f>VLOOKUP(B3,Misc!A$25:'Misc'!D$31,3,FALSE)</f>
        <v>0</v>
      </c>
      <c r="E3" s="22">
        <f>VLOOKUP(B3,Misc!A$25:'Misc'!D$31,4,FALSE)</f>
        <v>1</v>
      </c>
      <c r="F3" s="88"/>
      <c r="G3" s="9"/>
      <c r="H3" s="9"/>
      <c r="I3" s="46"/>
      <c r="J3" s="9"/>
      <c r="K3" s="1"/>
      <c r="L3" s="46"/>
      <c r="M3" s="22"/>
      <c r="N3" s="9"/>
      <c r="O3" s="88"/>
      <c r="P3" s="22"/>
      <c r="Q3" s="1"/>
    </row>
    <row r="4" spans="1:17">
      <c r="A4" s="46" t="s">
        <v>565</v>
      </c>
      <c r="B4" s="201" t="s">
        <v>85</v>
      </c>
      <c r="C4" s="22">
        <f>IF(convertString(B4, "prefix")&lt;&gt;"",VLOOKUP(convertString(B4, "prefix"),Items!$A$544:$Z$612,15,FALSE),0) + IF(convertString(B4, "item")&lt;&gt;"",VLOOKUP(convertString(B4, "item"),Items!$A$14:$X$432,15,FALSE),0) + IF(convertString(B4, "suffix")&lt;&gt;"",VLOOKUP(convertString(B4, "suffix"),Items!$A$544:$Z$612,15,FALSE),0) + SUM(C5:C10)</f>
        <v>0</v>
      </c>
      <c r="D4" s="22">
        <f>IF(convertString(B4, "prefix")&lt;&gt;"",VLOOKUP(convertString(B4, "prefix"),Items!$A$544:$Z$612,16,FALSE),0) + IF(convertString(B4, "item")&lt;&gt;"",VLOOKUP(convertString(B4, "item"),Items!$A$14:$X$432,16,FALSE),0) + IF(convertString(B4, "suffix")&lt;&gt;"",VLOOKUP(convertString(B4, "suffix"),Items!$A$544:$Z$612,16,FALSE),0)+SUM(D5:D10)</f>
        <v>3</v>
      </c>
      <c r="E4" s="22">
        <f>IF(convertString(B4, "prefix")&lt;&gt;"",VLOOKUP(convertString(B4, "prefix"),Items!$A$544:$Z$612,17,FALSE),0) + IF(convertString(B4, "item")&lt;&gt;"",VLOOKUP(convertString(B4, "item"),Items!$A$14:$X$432,17,FALSE),0) + IF(convertString(B4, "suffix")&lt;&gt;"",VLOOKUP(convertString(B4, "suffix"),Items!$A$544:$Z$612,17,FALSE),0)+SUM(E5:E10)</f>
        <v>0</v>
      </c>
      <c r="F4" s="88" t="str">
        <f>IF(VLOOKUP(convertString(B4, "item"),Items!$A$14:$X$432,19,FALSE)&lt;&gt;"",VLOOKUP(convertString(B4, "item"),Items!$A$14:$X$432,19,FALSE),"")</f>
        <v/>
      </c>
      <c r="G4" s="118" t="str">
        <f>IF(VLOOKUP(convertString(B4, "item"),Items!$A$14:$X$432,20,FALSE)&lt;&gt;0,VLOOKUP(convertString(B4, "item"),Items!$A$14:$X$432,20,FALSE),"")</f>
        <v/>
      </c>
      <c r="H4" s="9" t="str">
        <f>IF(VLOOKUP(convertString(B4, "item"),Items!$A$14:$X$432,21,FALSE)&lt;&gt;"",VLOOKUP(convertString(B4, "item"),Items!$A$14:$X$432,21,FALSE),"")</f>
        <v/>
      </c>
      <c r="I4" s="88" t="str">
        <f>IF(VLOOKUP(convertString(B4, "item"),Items!$A$14:$X$432,22,FALSE)&lt;&gt;"",VLOOKUP(convertString(B4, "item"),Items!$A$14:$X$432,22,FALSE),"")</f>
        <v/>
      </c>
      <c r="J4" s="161" t="str">
        <f>IF(VLOOKUP(convertString(B4, "item"),Items!$A$14:$X$432,23,FALSE)&lt;&gt;"",VLOOKUP(convertString(B4, "item"),Items!$A$14:$X$432,23,FALSE),"")</f>
        <v/>
      </c>
      <c r="K4" s="9" t="str">
        <f>IF(VLOOKUP(convertString(B4, "item"),Items!$A$14:$X$432,24,FALSE)&lt;&gt;"",VLOOKUP(convertString(B4, "item"),Items!$A$14:$X$432,24,FALSE),"")</f>
        <v/>
      </c>
      <c r="L4" s="88" t="str">
        <f>IF(IF(convertString(B4, "suffix")&lt;&gt;"",VLOOKUP(convertString(B4, "suffix"),Items!$A$544:$Z$612,19,FALSE),"")&lt;&gt;"",IF(convertString(B4, "suffix")&lt;&gt;"",VLOOKUP(convertString(B4, "suffix"),Items!$A$544:$Z$612,19,FALSE),""),"")</f>
        <v/>
      </c>
      <c r="M4" s="9" t="str">
        <f>IF(IF(convertString(B4, "suffix")&lt;&gt;"",VLOOKUP(convertString(B4, "suffix"),Items!$A$544:$Z$612,20,FALSE),"")&lt;&gt;"",IF(convertString(B4, "suffix")&lt;&gt;"",VLOOKUP(convertString(B4, "suffix"),Items!$A$544:$Z$612,20,FALSE),""),"")</f>
        <v/>
      </c>
      <c r="N4" s="9" t="str">
        <f>IF(IF(convertString(B4, "suffix")&lt;&gt;"",VLOOKUP(convertString(B4, "suffix"),Items!$A$544:$Z$612,21,FALSE),"")&lt;&gt;"",IF(convertString(B4, "suffix")&lt;&gt;"",VLOOKUP(convertString(B4, "suffix"),Items!$A$544:$Z$612,21,FALSE),""),"")</f>
        <v/>
      </c>
      <c r="O4" s="88" t="str">
        <f>IF(IF(convertString(B4, "prefix")&lt;&gt;"",VLOOKUP(convertString(B4, "prefix"),Items!$A$544:$Z$612,19,FALSE),"")&lt;&gt;"",IF(convertString(B4, "prefix")&lt;&gt;"",VLOOKUP(convertString(B4, "prefix"),Items!$A$544:$Z$612,19,FALSE),""),"")</f>
        <v/>
      </c>
      <c r="P4" s="127" t="str">
        <f>IF(IF(convertString(B4, "prefix")&lt;&gt;"",VLOOKUP(convertString(B4, "prefix"),Items!$A$544:$Z$612,20,FALSE),"")&lt;&gt;"",IF(convertString(B4, "prefix")&lt;&gt;"",VLOOKUP(convertString(B4, "prefix"),Items!$A$544:$Z$612,20,FALSE),""),"")</f>
        <v/>
      </c>
      <c r="Q4" s="1" t="str">
        <f>IF(IF(convertString(B4, "prefix")&lt;&gt;"",VLOOKUP(convertString(B4, "prefix"),Items!$A$544:$Z$612,21,FALSE),"")&lt;&gt;"",IF(convertString(B4, "prefix")&lt;&gt;"",VLOOKUP(convertString(B4, "prefix"),Items!$A$544:$Z$612,21,FALSE),""),"")</f>
        <v/>
      </c>
    </row>
    <row r="5" spans="1:17" hidden="1">
      <c r="A5" s="99" t="s">
        <v>1146</v>
      </c>
      <c r="B5" s="201"/>
      <c r="C5" s="22" t="str">
        <f>IF(B5&lt;&gt;"",VLOOKUP(B5,Items!$A$616:$X$640,15,FALSE),"")</f>
        <v/>
      </c>
      <c r="D5" s="22" t="str">
        <f>IF(B5&lt;&gt;"",VLOOKUP(B5,Items!$A$616:$X$640,16,FALSE),"")</f>
        <v/>
      </c>
      <c r="E5" s="13" t="str">
        <f>IF(B5&lt;&gt;"",VLOOKUP(B5,Items!$A$616:$X$640,17,FALSE),"")</f>
        <v/>
      </c>
      <c r="F5" s="127" t="str">
        <f>IF(B5&lt;&gt;"",IF(VLOOKUP(B5,Items!$A$616:$X$640,19,FALSE)&lt;&gt;0,VLOOKUP(B5,Items!$A$616:$X$640,19,FALSE),""),"")</f>
        <v/>
      </c>
      <c r="G5" s="161" t="str">
        <f>IF(B5&lt;&gt;"",IF(VLOOKUP(B5,Items!$A$616:$X$640,20,FALSE)&lt;&gt;0,VLOOKUP(B5,Items!$A$616:$X$640,20,FALSE),""),"")</f>
        <v/>
      </c>
      <c r="H5" s="9" t="str">
        <f>IF(B5&lt;&gt;"",IF(VLOOKUP(B5,Items!$A$616:$X$640,21,FALSE)&lt;&gt;0,VLOOKUP(B5,Items!$A$616:$X$640,21,FALSE),""),"")</f>
        <v/>
      </c>
      <c r="I5" s="88" t="str">
        <f>IF(B5&lt;&gt;"",IF(VLOOKUP(B5,Items!$A$616:$X$640,22,FALSE)&lt;&gt;0,VLOOKUP(B5,Items!$A$616:$X$640,22,FALSE),""),"")</f>
        <v/>
      </c>
      <c r="J5" s="9" t="str">
        <f>IF(B5&lt;&gt;"",IF(VLOOKUP(B5,Items!$A$616:$X$640,23,FALSE)&lt;&gt;0,VLOOKUP(B5,Items!$A$616:$X$640,23,FALSE),""),"")</f>
        <v/>
      </c>
      <c r="K5" s="1" t="str">
        <f>IF(B5&lt;&gt;"",IF(VLOOKUP(B5,Items!$A$616:$X$640,24,FALSE)&lt;&gt;0,VLOOKUP(B5,Items!$A$616:$X$640,24,FALSE),""),"")</f>
        <v/>
      </c>
      <c r="L5" s="88"/>
      <c r="M5" s="9"/>
      <c r="N5" s="9"/>
      <c r="O5" s="88"/>
      <c r="P5" s="127"/>
      <c r="Q5" s="1"/>
    </row>
    <row r="6" spans="1:17" hidden="1">
      <c r="A6" s="99" t="s">
        <v>1147</v>
      </c>
      <c r="B6" s="201"/>
      <c r="C6" s="22" t="str">
        <f>IF(B6&lt;&gt;"",VLOOKUP(B6,Items!$A$616:$X$640,15,FALSE),"")</f>
        <v/>
      </c>
      <c r="D6" s="22" t="str">
        <f>IF(B6&lt;&gt;"",VLOOKUP(B6,Items!$A$616:$X$640,16,FALSE),"")</f>
        <v/>
      </c>
      <c r="E6" s="13" t="str">
        <f>IF(B6&lt;&gt;"",VLOOKUP(B6,Items!$A$616:$X$640,17,FALSE),"")</f>
        <v/>
      </c>
      <c r="F6" s="127" t="str">
        <f>IF(B6&lt;&gt;"",IF(VLOOKUP(B6,Items!$A$616:$X$640,19,FALSE)&lt;&gt;0,VLOOKUP(B6,Items!$A$616:$X$640,19,FALSE),""),"")</f>
        <v/>
      </c>
      <c r="G6" s="161" t="str">
        <f>IF(B6&lt;&gt;"",IF(VLOOKUP(B6,Items!$A$616:$X$640,20,FALSE)&lt;&gt;0,VLOOKUP(B6,Items!$A$616:$X$640,20,FALSE),""),"")</f>
        <v/>
      </c>
      <c r="H6" s="9" t="str">
        <f>IF(B6&lt;&gt;"",IF(VLOOKUP(B6,Items!$A$616:$X$640,21,FALSE)&lt;&gt;0,VLOOKUP(B6,Items!$A$616:$X$640,21,FALSE),""),"")</f>
        <v/>
      </c>
      <c r="I6" s="88" t="str">
        <f>IF(B6&lt;&gt;"",IF(VLOOKUP(B6,Items!$A$616:$X$640,22,FALSE)&lt;&gt;0,VLOOKUP(B6,Items!$A$616:$X$640,22,FALSE),""),"")</f>
        <v/>
      </c>
      <c r="J6" s="9" t="str">
        <f>IF(B6&lt;&gt;"",IF(VLOOKUP(B6,Items!$A$616:$X$640,23,FALSE)&lt;&gt;0,VLOOKUP(B6,Items!$A$616:$X$640,23,FALSE),""),"")</f>
        <v/>
      </c>
      <c r="K6" s="1" t="str">
        <f>IF(B6&lt;&gt;"",IF(VLOOKUP(B6,Items!$A$616:$X$640,24,FALSE)&lt;&gt;0,VLOOKUP(B6,Items!$A$616:$X$640,24,FALSE),""),"")</f>
        <v/>
      </c>
      <c r="L6" s="88"/>
      <c r="M6" s="9"/>
      <c r="N6" s="9"/>
      <c r="O6" s="88"/>
      <c r="P6" s="127"/>
      <c r="Q6" s="1"/>
    </row>
    <row r="7" spans="1:17" hidden="1">
      <c r="A7" s="99" t="s">
        <v>1148</v>
      </c>
      <c r="B7" s="201"/>
      <c r="C7" s="22" t="str">
        <f>IF(B7&lt;&gt;"",VLOOKUP(B7,Items!$A$616:$X$640,15,FALSE),"")</f>
        <v/>
      </c>
      <c r="D7" s="22" t="str">
        <f>IF(B7&lt;&gt;"",VLOOKUP(B7,Items!$A$616:$X$640,16,FALSE),"")</f>
        <v/>
      </c>
      <c r="E7" s="13" t="str">
        <f>IF(B7&lt;&gt;"",VLOOKUP(B7,Items!$A$616:$X$640,17,FALSE),"")</f>
        <v/>
      </c>
      <c r="F7" s="127" t="str">
        <f>IF(B7&lt;&gt;"",IF(VLOOKUP(B7,Items!$A$616:$X$640,19,FALSE)&lt;&gt;0,VLOOKUP(B7,Items!$A$616:$X$640,19,FALSE),""),"")</f>
        <v/>
      </c>
      <c r="G7" s="161" t="str">
        <f>IF(B7&lt;&gt;"",IF(VLOOKUP(B7,Items!$A$616:$X$640,20,FALSE)&lt;&gt;0,VLOOKUP(B7,Items!$A$616:$X$640,20,FALSE),""),"")</f>
        <v/>
      </c>
      <c r="H7" s="9" t="str">
        <f>IF(B7&lt;&gt;"",IF(VLOOKUP(B7,Items!$A$616:$X$640,21,FALSE)&lt;&gt;0,VLOOKUP(B7,Items!$A$616:$X$640,21,FALSE),""),"")</f>
        <v/>
      </c>
      <c r="I7" s="88" t="str">
        <f>IF(B7&lt;&gt;"",IF(VLOOKUP(B7,Items!$A$616:$X$640,22,FALSE)&lt;&gt;0,VLOOKUP(B7,Items!$A$616:$X$640,22,FALSE),""),"")</f>
        <v/>
      </c>
      <c r="J7" s="9" t="str">
        <f>IF(B7&lt;&gt;"",IF(VLOOKUP(B7,Items!$A$616:$X$640,23,FALSE)&lt;&gt;0,VLOOKUP(B7,Items!$A$616:$X$640,23,FALSE),""),"")</f>
        <v/>
      </c>
      <c r="K7" s="1" t="str">
        <f>IF(B7&lt;&gt;"",IF(VLOOKUP(B7,Items!$A$616:$X$640,24,FALSE)&lt;&gt;0,VLOOKUP(B7,Items!$A$616:$X$640,24,FALSE),""),"")</f>
        <v/>
      </c>
      <c r="L7" s="88"/>
      <c r="M7" s="9"/>
      <c r="N7" s="9"/>
      <c r="O7" s="88"/>
      <c r="P7" s="127"/>
      <c r="Q7" s="1"/>
    </row>
    <row r="8" spans="1:17" hidden="1">
      <c r="A8" s="99" t="s">
        <v>1149</v>
      </c>
      <c r="B8" s="201"/>
      <c r="C8" s="22" t="str">
        <f>IF(B8&lt;&gt;"",VLOOKUP(B8,Items!$A$616:$X$640,15,FALSE),"")</f>
        <v/>
      </c>
      <c r="D8" s="22" t="str">
        <f>IF(B8&lt;&gt;"",VLOOKUP(B8,Items!$A$616:$X$640,16,FALSE),"")</f>
        <v/>
      </c>
      <c r="E8" s="13" t="str">
        <f>IF(B8&lt;&gt;"",VLOOKUP(B8,Items!$A$616:$X$640,17,FALSE),"")</f>
        <v/>
      </c>
      <c r="F8" s="127" t="str">
        <f>IF(B8&lt;&gt;"",IF(VLOOKUP(B8,Items!$A$616:$X$640,19,FALSE)&lt;&gt;0,VLOOKUP(B8,Items!$A$616:$X$640,19,FALSE),""),"")</f>
        <v/>
      </c>
      <c r="G8" s="161" t="str">
        <f>IF(B8&lt;&gt;"",IF(VLOOKUP(B8,Items!$A$616:$X$640,20,FALSE)&lt;&gt;0,VLOOKUP(B8,Items!$A$616:$X$640,20,FALSE),""),"")</f>
        <v/>
      </c>
      <c r="H8" s="9" t="str">
        <f>IF(B8&lt;&gt;"",IF(VLOOKUP(B8,Items!$A$616:$X$640,21,FALSE)&lt;&gt;0,VLOOKUP(B8,Items!$A$616:$X$640,21,FALSE),""),"")</f>
        <v/>
      </c>
      <c r="I8" s="88" t="str">
        <f>IF(B8&lt;&gt;"",IF(VLOOKUP(B8,Items!$A$616:$X$640,22,FALSE)&lt;&gt;0,VLOOKUP(B8,Items!$A$616:$X$640,22,FALSE),""),"")</f>
        <v/>
      </c>
      <c r="J8" s="9" t="str">
        <f>IF(B8&lt;&gt;"",IF(VLOOKUP(B8,Items!$A$616:$X$640,23,FALSE)&lt;&gt;0,VLOOKUP(B8,Items!$A$616:$X$640,23,FALSE),""),"")</f>
        <v/>
      </c>
      <c r="K8" s="1" t="str">
        <f>IF(B8&lt;&gt;"",IF(VLOOKUP(B8,Items!$A$616:$X$640,24,FALSE)&lt;&gt;0,VLOOKUP(B8,Items!$A$616:$X$640,24,FALSE),""),"")</f>
        <v/>
      </c>
      <c r="L8" s="88"/>
      <c r="M8" s="9"/>
      <c r="N8" s="9"/>
      <c r="O8" s="88"/>
      <c r="P8" s="127"/>
      <c r="Q8" s="1"/>
    </row>
    <row r="9" spans="1:17" hidden="1">
      <c r="A9" s="99" t="s">
        <v>1150</v>
      </c>
      <c r="B9" s="201"/>
      <c r="C9" s="22" t="str">
        <f>IF(B9&lt;&gt;"",VLOOKUP(B9,Items!$A$616:$X$640,15,FALSE),"")</f>
        <v/>
      </c>
      <c r="D9" s="22" t="str">
        <f>IF(B9&lt;&gt;"",VLOOKUP(B9,Items!$A$616:$X$640,16,FALSE),"")</f>
        <v/>
      </c>
      <c r="E9" s="13" t="str">
        <f>IF(B9&lt;&gt;"",VLOOKUP(B9,Items!$A$616:$X$640,17,FALSE),"")</f>
        <v/>
      </c>
      <c r="F9" s="127" t="str">
        <f>IF(B9&lt;&gt;"",IF(VLOOKUP(B9,Items!$A$616:$X$640,19,FALSE)&lt;&gt;0,VLOOKUP(B9,Items!$A$616:$X$640,19,FALSE),""),"")</f>
        <v/>
      </c>
      <c r="G9" s="161" t="str">
        <f>IF(B9&lt;&gt;"",IF(VLOOKUP(B9,Items!$A$616:$X$640,20,FALSE)&lt;&gt;0,VLOOKUP(B9,Items!$A$616:$X$640,20,FALSE),""),"")</f>
        <v/>
      </c>
      <c r="H9" s="9" t="str">
        <f>IF(B9&lt;&gt;"",IF(VLOOKUP(B9,Items!$A$616:$X$640,21,FALSE)&lt;&gt;0,VLOOKUP(B9,Items!$A$616:$X$640,21,FALSE),""),"")</f>
        <v/>
      </c>
      <c r="I9" s="88" t="str">
        <f>IF(B9&lt;&gt;"",IF(VLOOKUP(B9,Items!$A$616:$X$640,22,FALSE)&lt;&gt;0,VLOOKUP(B9,Items!$A$616:$X$640,22,FALSE),""),"")</f>
        <v/>
      </c>
      <c r="J9" s="9" t="str">
        <f>IF(B9&lt;&gt;"",IF(VLOOKUP(B9,Items!$A$616:$X$640,23,FALSE)&lt;&gt;0,VLOOKUP(B9,Items!$A$616:$X$640,23,FALSE),""),"")</f>
        <v/>
      </c>
      <c r="K9" s="1" t="str">
        <f>IF(B9&lt;&gt;"",IF(VLOOKUP(B9,Items!$A$616:$X$640,24,FALSE)&lt;&gt;0,VLOOKUP(B9,Items!$A$616:$X$640,24,FALSE),""),"")</f>
        <v/>
      </c>
      <c r="L9" s="88"/>
      <c r="M9" s="9"/>
      <c r="N9" s="9"/>
      <c r="O9" s="88"/>
      <c r="P9" s="127"/>
      <c r="Q9" s="1"/>
    </row>
    <row r="10" spans="1:17" hidden="1">
      <c r="A10" s="99" t="s">
        <v>1151</v>
      </c>
      <c r="B10" s="201"/>
      <c r="C10" s="22" t="str">
        <f>IF(B10&lt;&gt;"",VLOOKUP(B10,Items!$A$616:$X$640,15,FALSE),"")</f>
        <v/>
      </c>
      <c r="D10" s="22" t="str">
        <f>IF(B10&lt;&gt;"",VLOOKUP(B10,Items!$A$616:$X$640,16,FALSE),"")</f>
        <v/>
      </c>
      <c r="E10" s="13" t="str">
        <f>IF(B10&lt;&gt;"",VLOOKUP(B10,Items!$A$616:$X$640,17,FALSE),"")</f>
        <v/>
      </c>
      <c r="F10" s="127" t="str">
        <f>IF(B10&lt;&gt;"",IF(VLOOKUP(B10,Items!$A$616:$X$640,19,FALSE)&lt;&gt;0,VLOOKUP(B10,Items!$A$616:$X$640,19,FALSE),""),"")</f>
        <v/>
      </c>
      <c r="G10" s="161" t="str">
        <f>IF(B10&lt;&gt;"",IF(VLOOKUP(B10,Items!$A$616:$X$640,20,FALSE)&lt;&gt;0,VLOOKUP(B10,Items!$A$616:$X$640,20,FALSE),""),"")</f>
        <v/>
      </c>
      <c r="H10" s="9" t="str">
        <f>IF(B10&lt;&gt;"",IF(VLOOKUP(B10,Items!$A$616:$X$640,21,FALSE)&lt;&gt;0,VLOOKUP(B10,Items!$A$616:$X$640,21,FALSE),""),"")</f>
        <v/>
      </c>
      <c r="I10" s="88" t="str">
        <f>IF(B10&lt;&gt;"",IF(VLOOKUP(B10,Items!$A$616:$X$640,22,FALSE)&lt;&gt;0,VLOOKUP(B10,Items!$A$616:$X$640,22,FALSE),""),"")</f>
        <v/>
      </c>
      <c r="J10" s="9" t="str">
        <f>IF(B10&lt;&gt;"",IF(VLOOKUP(B10,Items!$A$616:$X$640,23,FALSE)&lt;&gt;0,VLOOKUP(B10,Items!$A$616:$X$640,23,FALSE),""),"")</f>
        <v/>
      </c>
      <c r="K10" s="1" t="str">
        <f>IF(B10&lt;&gt;"",IF(VLOOKUP(B10,Items!$A$616:$X$640,24,FALSE)&lt;&gt;0,VLOOKUP(B10,Items!$A$616:$X$640,24,FALSE),""),"")</f>
        <v/>
      </c>
      <c r="L10" s="88"/>
      <c r="M10" s="9"/>
      <c r="N10" s="9"/>
      <c r="O10" s="88"/>
      <c r="P10" s="127"/>
      <c r="Q10" s="1"/>
    </row>
    <row r="11" spans="1:17">
      <c r="A11" s="46" t="s">
        <v>570</v>
      </c>
      <c r="B11" s="201" t="s">
        <v>834</v>
      </c>
      <c r="C11" s="22">
        <f>IF(convertString(B11, "prefix")&lt;&gt;"",VLOOKUP(convertString(B11, "prefix"),Items!$A$544:$Z$612,15,FALSE),0) + IF(convertString(B11, "item")&lt;&gt;"",VLOOKUP(convertString(B11, "item"),Items!$A$14:$X$432,15,FALSE),0) + IF(convertString(B11, "suffix")&lt;&gt;"",VLOOKUP(convertString(B11, "suffix"),Items!$A$544:$Z$612,15,FALSE),0) + SUM(C12:C17)</f>
        <v>0</v>
      </c>
      <c r="D11" s="22">
        <f>IF(convertString(B11, "prefix")&lt;&gt;"",VLOOKUP(convertString(B11, "prefix"),Items!$A$544:$Z$612,16,FALSE),0) + IF(convertString(B11, "item")&lt;&gt;"",VLOOKUP(convertString(B11, "item"),Items!$A$14:$X$432,16,FALSE),0) + IF(convertString(B11, "suffix")&lt;&gt;"",VLOOKUP(convertString(B11, "suffix"),Items!$A$544:$Z$612,16,FALSE),0)+SUM(D12:D17)</f>
        <v>3</v>
      </c>
      <c r="E11" s="22">
        <f>IF(convertString(B11, "prefix")&lt;&gt;"",VLOOKUP(convertString(B11, "prefix"),Items!$A$544:$Z$612,17,FALSE),0) + IF(convertString(B11, "item")&lt;&gt;"",VLOOKUP(convertString(B11, "item"),Items!$A$14:$X$432,17,FALSE),0) + IF(convertString(B11, "suffix")&lt;&gt;"",VLOOKUP(convertString(B11, "suffix"),Items!$A$544:$Z$612,17,FALSE),0)+SUM(E12:E17)</f>
        <v>0</v>
      </c>
      <c r="F11" s="88" t="str">
        <f>IF(VLOOKUP(convertString(B11, "item"),Items!$A$14:$X$432,19,FALSE)&lt;&gt;"",VLOOKUP(convertString(B11, "item"),Items!$A$14:$X$432,19,FALSE),"")</f>
        <v/>
      </c>
      <c r="G11" s="118" t="str">
        <f>IF(VLOOKUP(convertString(B11, "item"),Items!$A$14:$X$432,20,FALSE)&lt;&gt;0,VLOOKUP(convertString(B11, "item"),Items!$A$14:$X$432,20,FALSE),"")</f>
        <v/>
      </c>
      <c r="H11" s="9" t="str">
        <f>IF(VLOOKUP(convertString(B11, "item"),Items!$A$14:$X$432,21,FALSE)&lt;&gt;"",VLOOKUP(convertString(B11, "item"),Items!$A$14:$X$432,21,FALSE),"")</f>
        <v/>
      </c>
      <c r="I11" s="88" t="str">
        <f>IF(VLOOKUP(convertString(B11, "item"),Items!$A$14:$X$432,22,FALSE)&lt;&gt;"",VLOOKUP(convertString(B11, "item"),Items!$A$14:$X$432,22,FALSE),"")</f>
        <v/>
      </c>
      <c r="J11" s="161" t="str">
        <f>IF(VLOOKUP(convertString(B11, "item"),Items!$A$14:$X$432,23,FALSE)&lt;&gt;"",VLOOKUP(convertString(B11, "item"),Items!$A$14:$X$432,23,FALSE),"")</f>
        <v/>
      </c>
      <c r="K11" s="9" t="str">
        <f>IF(VLOOKUP(convertString(B11, "item"),Items!$A$14:$X$432,24,FALSE)&lt;&gt;"",VLOOKUP(convertString(B11, "item"),Items!$A$14:$X$432,24,FALSE),"")</f>
        <v/>
      </c>
      <c r="L11" s="88" t="str">
        <f>IF(IF(convertString(B11, "suffix")&lt;&gt;"",VLOOKUP(convertString(B11, "suffix"),Items!$A$544:$Z$612,19,FALSE),"")&lt;&gt;"",IF(convertString(B11, "suffix")&lt;&gt;"",VLOOKUP(convertString(B11, "suffix"),Items!$A$544:$Z$612,19,FALSE),""),"")</f>
        <v/>
      </c>
      <c r="M11" s="9" t="str">
        <f>IF(IF(convertString(B11, "suffix")&lt;&gt;"",VLOOKUP(convertString(B11, "suffix"),Items!$A$544:$Z$612,20,FALSE),"")&lt;&gt;"",IF(convertString(B11, "suffix")&lt;&gt;"",VLOOKUP(convertString(B11, "suffix"),Items!$A$544:$Z$612,20,FALSE),""),"")</f>
        <v/>
      </c>
      <c r="N11" s="9" t="str">
        <f>IF(IF(convertString(B11, "suffix")&lt;&gt;"",VLOOKUP(convertString(B11, "suffix"),Items!$A$544:$Z$612,21,FALSE),"")&lt;&gt;"",IF(convertString(B11, "suffix")&lt;&gt;"",VLOOKUP(convertString(B11, "suffix"),Items!$A$544:$Z$612,21,FALSE),""),"")</f>
        <v/>
      </c>
      <c r="O11" s="88" t="str">
        <f>IF(IF(convertString(B11, "prefix")&lt;&gt;"",VLOOKUP(convertString(B11, "prefix"),Items!$A$544:$Z$612,19,FALSE),"")&lt;&gt;"",IF(convertString(B11, "prefix")&lt;&gt;"",VLOOKUP(convertString(B11, "prefix"),Items!$A$544:$Z$612,19,FALSE),""),"")</f>
        <v/>
      </c>
      <c r="P11" s="127" t="str">
        <f>IF(IF(convertString(B11, "prefix")&lt;&gt;"",VLOOKUP(convertString(B11, "prefix"),Items!$A$544:$Z$612,20,FALSE),"")&lt;&gt;"",IF(convertString(B11, "prefix")&lt;&gt;"",VLOOKUP(convertString(B11, "prefix"),Items!$A$544:$Z$612,20,FALSE),""),"")</f>
        <v/>
      </c>
      <c r="Q11" s="1" t="str">
        <f>IF(IF(convertString(B11, "prefix")&lt;&gt;"",VLOOKUP(convertString(B11, "prefix"),Items!$A$544:$Z$612,21,FALSE),"")&lt;&gt;"",IF(convertString(B11, "prefix")&lt;&gt;"",VLOOKUP(convertString(B11, "prefix"),Items!$A$544:$Z$612,21,FALSE),""),"")</f>
        <v/>
      </c>
    </row>
    <row r="12" spans="1:17" ht="19.5" hidden="1" customHeight="1">
      <c r="A12" s="99" t="s">
        <v>1146</v>
      </c>
      <c r="B12" s="201"/>
      <c r="C12" s="22" t="str">
        <f>IF(B12&lt;&gt;"",VLOOKUP(B12,Items!$A$616:$X$640,15,FALSE),"")</f>
        <v/>
      </c>
      <c r="D12" s="22" t="str">
        <f>IF(B12&lt;&gt;"",VLOOKUP(B12,Items!$A$616:$X$640,16,FALSE),"")</f>
        <v/>
      </c>
      <c r="E12" s="13" t="str">
        <f>IF(B12&lt;&gt;"",VLOOKUP(B12,Items!$A$616:$X$640,17,FALSE),"")</f>
        <v/>
      </c>
      <c r="F12" s="127" t="str">
        <f>IF(B12&lt;&gt;"",IF(VLOOKUP(B12,Items!$A$616:$X$640,19,FALSE)&lt;&gt;0,VLOOKUP(B12,Items!$A$616:$X$640,19,FALSE),""),"")</f>
        <v/>
      </c>
      <c r="G12" s="161" t="str">
        <f>IF(B12&lt;&gt;"",IF(VLOOKUP(B12,Items!$A$616:$X$640,20,FALSE)&lt;&gt;0,VLOOKUP(B12,Items!$A$616:$X$640,20,FALSE),""),"")</f>
        <v/>
      </c>
      <c r="H12" s="9" t="str">
        <f>IF(B12&lt;&gt;"",IF(VLOOKUP(B12,Items!$A$616:$X$640,21,FALSE)&lt;&gt;0,VLOOKUP(B12,Items!$A$616:$X$640,21,FALSE),""),"")</f>
        <v/>
      </c>
      <c r="I12" s="88" t="str">
        <f>IF(B12&lt;&gt;"",IF(VLOOKUP(B12,Items!$A$616:$X$640,22,FALSE)&lt;&gt;0,VLOOKUP(B12,Items!$A$616:$X$640,22,FALSE),""),"")</f>
        <v/>
      </c>
      <c r="J12" s="9" t="str">
        <f>IF(B12&lt;&gt;"",IF(VLOOKUP(B12,Items!$A$616:$X$640,23,FALSE)&lt;&gt;0,VLOOKUP(B12,Items!$A$616:$X$640,23,FALSE),""),"")</f>
        <v/>
      </c>
      <c r="K12" s="1" t="str">
        <f>IF(B12&lt;&gt;"",IF(VLOOKUP(B12,Items!$A$616:$X$640,24,FALSE)&lt;&gt;0,VLOOKUP(B12,Items!$A$616:$X$640,24,FALSE),""),"")</f>
        <v/>
      </c>
      <c r="L12" s="88"/>
      <c r="M12" s="9"/>
      <c r="N12" s="9"/>
      <c r="O12" s="88"/>
      <c r="P12" s="127"/>
      <c r="Q12" s="1"/>
    </row>
    <row r="13" spans="1:17" hidden="1">
      <c r="A13" s="99" t="s">
        <v>1147</v>
      </c>
      <c r="B13" s="201"/>
      <c r="C13" s="22" t="str">
        <f>IF(B13&lt;&gt;"",VLOOKUP(B13,Items!$A$616:$X$640,15,FALSE),"")</f>
        <v/>
      </c>
      <c r="D13" s="22" t="str">
        <f>IF(B13&lt;&gt;"",VLOOKUP(B13,Items!$A$616:$X$640,16,FALSE),"")</f>
        <v/>
      </c>
      <c r="E13" s="13" t="str">
        <f>IF(B13&lt;&gt;"",VLOOKUP(B13,Items!$A$616:$X$640,17,FALSE),"")</f>
        <v/>
      </c>
      <c r="F13" s="127" t="str">
        <f>IF(B13&lt;&gt;"",IF(VLOOKUP(B13,Items!$A$616:$X$640,19,FALSE)&lt;&gt;0,VLOOKUP(B13,Items!$A$616:$X$640,19,FALSE),""),"")</f>
        <v/>
      </c>
      <c r="G13" s="161" t="str">
        <f>IF(B13&lt;&gt;"",IF(VLOOKUP(B13,Items!$A$616:$X$640,20,FALSE)&lt;&gt;0,VLOOKUP(B13,Items!$A$616:$X$640,20,FALSE),""),"")</f>
        <v/>
      </c>
      <c r="H13" s="9" t="str">
        <f>IF(B13&lt;&gt;"",IF(VLOOKUP(B13,Items!$A$616:$X$640,21,FALSE)&lt;&gt;0,VLOOKUP(B13,Items!$A$616:$X$640,21,FALSE),""),"")</f>
        <v/>
      </c>
      <c r="I13" s="88" t="str">
        <f>IF(B13&lt;&gt;"",IF(VLOOKUP(B13,Items!$A$616:$X$640,22,FALSE)&lt;&gt;0,VLOOKUP(B13,Items!$A$616:$X$640,22,FALSE),""),"")</f>
        <v/>
      </c>
      <c r="J13" s="9" t="str">
        <f>IF(B13&lt;&gt;"",IF(VLOOKUP(B13,Items!$A$616:$X$640,23,FALSE)&lt;&gt;0,VLOOKUP(B13,Items!$A$616:$X$640,23,FALSE),""),"")</f>
        <v/>
      </c>
      <c r="K13" s="1" t="str">
        <f>IF(B13&lt;&gt;"",IF(VLOOKUP(B13,Items!$A$616:$X$640,24,FALSE)&lt;&gt;0,VLOOKUP(B13,Items!$A$616:$X$640,24,FALSE),""),"")</f>
        <v/>
      </c>
      <c r="L13" s="88"/>
      <c r="M13" s="9"/>
      <c r="N13" s="9"/>
      <c r="O13" s="88"/>
      <c r="P13" s="127"/>
      <c r="Q13" s="1"/>
    </row>
    <row r="14" spans="1:17" hidden="1">
      <c r="A14" s="99" t="s">
        <v>1148</v>
      </c>
      <c r="B14" s="201"/>
      <c r="C14" s="22" t="str">
        <f>IF(B14&lt;&gt;"",VLOOKUP(B14,Items!$A$616:$X$640,15,FALSE),"")</f>
        <v/>
      </c>
      <c r="D14" s="22" t="str">
        <f>IF(B14&lt;&gt;"",VLOOKUP(B14,Items!$A$616:$X$640,16,FALSE),"")</f>
        <v/>
      </c>
      <c r="E14" s="13" t="str">
        <f>IF(B14&lt;&gt;"",VLOOKUP(B14,Items!$A$616:$X$640,17,FALSE),"")</f>
        <v/>
      </c>
      <c r="F14" s="127" t="str">
        <f>IF(B14&lt;&gt;"",IF(VLOOKUP(B14,Items!$A$616:$X$640,19,FALSE)&lt;&gt;0,VLOOKUP(B14,Items!$A$616:$X$640,19,FALSE),""),"")</f>
        <v/>
      </c>
      <c r="G14" s="161" t="str">
        <f>IF(B14&lt;&gt;"",IF(VLOOKUP(B14,Items!$A$616:$X$640,20,FALSE)&lt;&gt;0,VLOOKUP(B14,Items!$A$616:$X$640,20,FALSE),""),"")</f>
        <v/>
      </c>
      <c r="H14" s="9" t="str">
        <f>IF(B14&lt;&gt;"",IF(VLOOKUP(B14,Items!$A$616:$X$640,21,FALSE)&lt;&gt;0,VLOOKUP(B14,Items!$A$616:$X$640,21,FALSE),""),"")</f>
        <v/>
      </c>
      <c r="I14" s="88" t="str">
        <f>IF(B14&lt;&gt;"",IF(VLOOKUP(B14,Items!$A$616:$X$640,22,FALSE)&lt;&gt;0,VLOOKUP(B14,Items!$A$616:$X$640,22,FALSE),""),"")</f>
        <v/>
      </c>
      <c r="J14" s="9" t="str">
        <f>IF(B14&lt;&gt;"",IF(VLOOKUP(B14,Items!$A$616:$X$640,23,FALSE)&lt;&gt;0,VLOOKUP(B14,Items!$A$616:$X$640,23,FALSE),""),"")</f>
        <v/>
      </c>
      <c r="K14" s="1" t="str">
        <f>IF(B14&lt;&gt;"",IF(VLOOKUP(B14,Items!$A$616:$X$640,24,FALSE)&lt;&gt;0,VLOOKUP(B14,Items!$A$616:$X$640,24,FALSE),""),"")</f>
        <v/>
      </c>
      <c r="L14" s="88"/>
      <c r="M14" s="9"/>
      <c r="N14" s="9"/>
      <c r="O14" s="88"/>
      <c r="P14" s="127"/>
      <c r="Q14" s="1"/>
    </row>
    <row r="15" spans="1:17" ht="15" hidden="1" customHeight="1">
      <c r="A15" s="99" t="s">
        <v>1149</v>
      </c>
      <c r="B15" s="201"/>
      <c r="C15" s="22" t="str">
        <f>IF(B15&lt;&gt;"",VLOOKUP(B15,Items!$A$616:$X$640,15,FALSE),"")</f>
        <v/>
      </c>
      <c r="D15" s="22" t="str">
        <f>IF(B15&lt;&gt;"",VLOOKUP(B15,Items!$A$616:$X$640,16,FALSE),"")</f>
        <v/>
      </c>
      <c r="E15" s="13" t="str">
        <f>IF(B15&lt;&gt;"",VLOOKUP(B15,Items!$A$616:$X$640,17,FALSE),"")</f>
        <v/>
      </c>
      <c r="F15" s="127" t="str">
        <f>IF(B15&lt;&gt;"",IF(VLOOKUP(B15,Items!$A$616:$X$640,19,FALSE)&lt;&gt;0,VLOOKUP(B15,Items!$A$616:$X$640,19,FALSE),""),"")</f>
        <v/>
      </c>
      <c r="G15" s="161" t="str">
        <f>IF(B15&lt;&gt;"",IF(VLOOKUP(B15,Items!$A$616:$X$640,20,FALSE)&lt;&gt;0,VLOOKUP(B15,Items!$A$616:$X$640,20,FALSE),""),"")</f>
        <v/>
      </c>
      <c r="H15" s="9" t="str">
        <f>IF(B15&lt;&gt;"",IF(VLOOKUP(B15,Items!$A$616:$X$640,21,FALSE)&lt;&gt;0,VLOOKUP(B15,Items!$A$616:$X$640,21,FALSE),""),"")</f>
        <v/>
      </c>
      <c r="I15" s="88" t="str">
        <f>IF(B15&lt;&gt;"",IF(VLOOKUP(B15,Items!$A$616:$X$640,22,FALSE)&lt;&gt;0,VLOOKUP(B15,Items!$A$616:$X$640,22,FALSE),""),"")</f>
        <v/>
      </c>
      <c r="J15" s="9" t="str">
        <f>IF(B15&lt;&gt;"",IF(VLOOKUP(B15,Items!$A$616:$X$640,23,FALSE)&lt;&gt;0,VLOOKUP(B15,Items!$A$616:$X$640,23,FALSE),""),"")</f>
        <v/>
      </c>
      <c r="K15" s="1" t="str">
        <f>IF(B15&lt;&gt;"",IF(VLOOKUP(B15,Items!$A$616:$X$640,24,FALSE)&lt;&gt;0,VLOOKUP(B15,Items!$A$616:$X$640,24,FALSE),""),"")</f>
        <v/>
      </c>
      <c r="L15" s="88"/>
      <c r="M15" s="9"/>
      <c r="N15" s="9"/>
      <c r="O15" s="88"/>
      <c r="P15" s="127"/>
      <c r="Q15" s="1"/>
    </row>
    <row r="16" spans="1:17" ht="15" hidden="1" customHeight="1">
      <c r="A16" s="99" t="s">
        <v>1150</v>
      </c>
      <c r="B16" s="201"/>
      <c r="C16" s="22" t="str">
        <f>IF(B16&lt;&gt;"",VLOOKUP(B16,Items!$A$616:$X$640,15,FALSE),"")</f>
        <v/>
      </c>
      <c r="D16" s="22" t="str">
        <f>IF(B16&lt;&gt;"",VLOOKUP(B16,Items!$A$616:$X$640,16,FALSE),"")</f>
        <v/>
      </c>
      <c r="E16" s="13" t="str">
        <f>IF(B16&lt;&gt;"",VLOOKUP(B16,Items!$A$616:$X$640,17,FALSE),"")</f>
        <v/>
      </c>
      <c r="F16" s="127" t="str">
        <f>IF(B16&lt;&gt;"",IF(VLOOKUP(B16,Items!$A$616:$X$640,19,FALSE)&lt;&gt;0,VLOOKUP(B16,Items!$A$616:$X$640,19,FALSE),""),"")</f>
        <v/>
      </c>
      <c r="G16" s="161" t="str">
        <f>IF(B16&lt;&gt;"",IF(VLOOKUP(B16,Items!$A$616:$X$640,20,FALSE)&lt;&gt;0,VLOOKUP(B16,Items!$A$616:$X$640,20,FALSE),""),"")</f>
        <v/>
      </c>
      <c r="H16" s="9" t="str">
        <f>IF(B16&lt;&gt;"",IF(VLOOKUP(B16,Items!$A$616:$X$640,21,FALSE)&lt;&gt;0,VLOOKUP(B16,Items!$A$616:$X$640,21,FALSE),""),"")</f>
        <v/>
      </c>
      <c r="I16" s="88" t="str">
        <f>IF(B16&lt;&gt;"",IF(VLOOKUP(B16,Items!$A$616:$X$640,22,FALSE)&lt;&gt;0,VLOOKUP(B16,Items!$A$616:$X$640,22,FALSE),""),"")</f>
        <v/>
      </c>
      <c r="J16" s="9" t="str">
        <f>IF(B16&lt;&gt;"",IF(VLOOKUP(B16,Items!$A$616:$X$640,23,FALSE)&lt;&gt;0,VLOOKUP(B16,Items!$A$616:$X$640,23,FALSE),""),"")</f>
        <v/>
      </c>
      <c r="K16" s="1" t="str">
        <f>IF(B16&lt;&gt;"",IF(VLOOKUP(B16,Items!$A$616:$X$640,24,FALSE)&lt;&gt;0,VLOOKUP(B16,Items!$A$616:$X$640,24,FALSE),""),"")</f>
        <v/>
      </c>
      <c r="L16" s="88"/>
      <c r="M16" s="9"/>
      <c r="N16" s="9"/>
      <c r="O16" s="88"/>
      <c r="P16" s="127"/>
      <c r="Q16" s="1"/>
    </row>
    <row r="17" spans="1:17" ht="15" hidden="1" customHeight="1">
      <c r="A17" s="99" t="s">
        <v>1151</v>
      </c>
      <c r="B17" s="201"/>
      <c r="C17" s="22" t="str">
        <f>IF(B17&lt;&gt;"",VLOOKUP(B17,Items!$A$616:$X$640,15,FALSE),"")</f>
        <v/>
      </c>
      <c r="D17" s="22" t="str">
        <f>IF(B17&lt;&gt;"",VLOOKUP(B17,Items!$A$616:$X$640,16,FALSE),"")</f>
        <v/>
      </c>
      <c r="E17" s="13" t="str">
        <f>IF(B17&lt;&gt;"",VLOOKUP(B17,Items!$A$616:$X$640,17,FALSE),"")</f>
        <v/>
      </c>
      <c r="F17" s="127" t="str">
        <f>IF(B17&lt;&gt;"",IF(VLOOKUP(B17,Items!$A$616:$X$640,19,FALSE)&lt;&gt;0,VLOOKUP(B17,Items!$A$616:$X$640,19,FALSE),""),"")</f>
        <v/>
      </c>
      <c r="G17" s="161" t="str">
        <f>IF(B17&lt;&gt;"",IF(VLOOKUP(B17,Items!$A$616:$X$640,20,FALSE)&lt;&gt;0,VLOOKUP(B17,Items!$A$616:$X$640,20,FALSE),""),"")</f>
        <v/>
      </c>
      <c r="H17" s="9" t="str">
        <f>IF(B17&lt;&gt;"",IF(VLOOKUP(B17,Items!$A$616:$X$640,21,FALSE)&lt;&gt;0,VLOOKUP(B17,Items!$A$616:$X$640,21,FALSE),""),"")</f>
        <v/>
      </c>
      <c r="I17" s="88" t="str">
        <f>IF(B17&lt;&gt;"",IF(VLOOKUP(B17,Items!$A$616:$X$640,22,FALSE)&lt;&gt;0,VLOOKUP(B17,Items!$A$616:$X$640,22,FALSE),""),"")</f>
        <v/>
      </c>
      <c r="J17" s="9" t="str">
        <f>IF(B17&lt;&gt;"",IF(VLOOKUP(B17,Items!$A$616:$X$640,23,FALSE)&lt;&gt;0,VLOOKUP(B17,Items!$A$616:$X$640,23,FALSE),""),"")</f>
        <v/>
      </c>
      <c r="K17" s="1" t="str">
        <f>IF(B17&lt;&gt;"",IF(VLOOKUP(B17,Items!$A$616:$X$640,24,FALSE)&lt;&gt;0,VLOOKUP(B17,Items!$A$616:$X$640,24,FALSE),""),"")</f>
        <v/>
      </c>
      <c r="L17" s="88"/>
      <c r="M17" s="9"/>
      <c r="N17" s="9"/>
      <c r="O17" s="88"/>
      <c r="P17" s="127"/>
      <c r="Q17" s="1"/>
    </row>
    <row r="18" spans="1:17" ht="15" customHeight="1">
      <c r="A18" s="47" t="s">
        <v>567</v>
      </c>
      <c r="B18" s="201" t="s">
        <v>1208</v>
      </c>
      <c r="C18" s="22">
        <f>IF(convertString(B18, "prefix")&lt;&gt;"",VLOOKUP(convertString(B18, "prefix"),Items!$A$544:$Z$612,15,FALSE),0) + IF(convertString(B18, "item")&lt;&gt;"",VLOOKUP(convertString(B18, "item"),Items!$A$14:$X$432,15,FALSE),0) + IF(convertString(B18, "suffix")&lt;&gt;"",VLOOKUP(convertString(B18, "suffix"),Items!$A$544:$Z$612,15,FALSE),0) + SUM(C19:C24)</f>
        <v>1</v>
      </c>
      <c r="D18" s="22">
        <f>IF(convertString(B18, "prefix")&lt;&gt;"",VLOOKUP(convertString(B18, "prefix"),Items!$A$544:$Z$612,16,FALSE),0) + IF(convertString(B18, "item")&lt;&gt;"",VLOOKUP(convertString(B18, "item"),Items!$A$14:$X$432,16,FALSE),0) + IF(convertString(B18, "suffix")&lt;&gt;"",VLOOKUP(convertString(B18, "suffix"),Items!$A$544:$Z$612,16,FALSE),0)+SUM(D19:D24)</f>
        <v>1</v>
      </c>
      <c r="E18" s="22">
        <f>IF(convertString(B18, "prefix")&lt;&gt;"",VLOOKUP(convertString(B18, "prefix"),Items!$A$544:$Z$612,17,FALSE),0) + IF(convertString(B18, "item")&lt;&gt;"",VLOOKUP(convertString(B18, "item"),Items!$A$14:$X$432,17,FALSE),0) + IF(convertString(B18, "suffix")&lt;&gt;"",VLOOKUP(convertString(B18, "suffix"),Items!$A$544:$Z$612,17,FALSE),0)+SUM(E19:E24)</f>
        <v>1</v>
      </c>
      <c r="F18" s="88" t="str">
        <f>IF(VLOOKUP(convertString(B18, "item"),Items!$A$14:$X$432,19,FALSE)&lt;&gt;"",VLOOKUP(convertString(B18, "item"),Items!$A$14:$X$432,19,FALSE),"")</f>
        <v/>
      </c>
      <c r="G18" s="118" t="str">
        <f>IF(VLOOKUP(convertString(B18, "item"),Items!$A$14:$X$432,20,FALSE)&lt;&gt;0,VLOOKUP(convertString(B18, "item"),Items!$A$14:$X$432,20,FALSE),"")</f>
        <v/>
      </c>
      <c r="H18" s="9" t="str">
        <f>IF(VLOOKUP(convertString(B18, "item"),Items!$A$14:$X$432,21,FALSE)&lt;&gt;"",VLOOKUP(convertString(B18, "item"),Items!$A$14:$X$432,21,FALSE),"")</f>
        <v/>
      </c>
      <c r="I18" s="88" t="str">
        <f>IF(VLOOKUP(convertString(B18, "item"),Items!$A$14:$X$432,22,FALSE)&lt;&gt;"",VLOOKUP(convertString(B18, "item"),Items!$A$14:$X$432,22,FALSE),"")</f>
        <v/>
      </c>
      <c r="J18" s="161" t="str">
        <f>IF(VLOOKUP(convertString(B18, "item"),Items!$A$14:$X$432,23,FALSE)&lt;&gt;"",VLOOKUP(convertString(B18, "item"),Items!$A$14:$X$432,23,FALSE),"")</f>
        <v/>
      </c>
      <c r="K18" s="9" t="str">
        <f>IF(VLOOKUP(convertString(B18, "item"),Items!$A$14:$X$432,24,FALSE)&lt;&gt;"",VLOOKUP(convertString(B18, "item"),Items!$A$14:$X$432,24,FALSE),"")</f>
        <v/>
      </c>
      <c r="L18" s="88" t="str">
        <f>IF(IF(convertString(B18, "suffix")&lt;&gt;"",VLOOKUP(convertString(B18, "suffix"),Items!$A$544:$Z$612,19,FALSE),"")&lt;&gt;"",IF(convertString(B18, "suffix")&lt;&gt;"",VLOOKUP(convertString(B18, "suffix"),Items!$A$544:$Z$612,19,FALSE),""),"")</f>
        <v/>
      </c>
      <c r="M18" s="9" t="str">
        <f>IF(IF(convertString(B18, "suffix")&lt;&gt;"",VLOOKUP(convertString(B18, "suffix"),Items!$A$544:$Z$612,20,FALSE),"")&lt;&gt;"",IF(convertString(B18, "suffix")&lt;&gt;"",VLOOKUP(convertString(B18, "suffix"),Items!$A$544:$Z$612,20,FALSE),""),"")</f>
        <v/>
      </c>
      <c r="N18" s="9" t="str">
        <f>IF(IF(convertString(B18, "suffix")&lt;&gt;"",VLOOKUP(convertString(B18, "suffix"),Items!$A$544:$Z$612,21,FALSE),"")&lt;&gt;"",IF(convertString(B18, "suffix")&lt;&gt;"",VLOOKUP(convertString(B18, "suffix"),Items!$A$544:$Z$612,21,FALSE),""),"")</f>
        <v/>
      </c>
      <c r="O18" s="88" t="str">
        <f>IF(IF(convertString(B18, "prefix")&lt;&gt;"",VLOOKUP(convertString(B18, "prefix"),Items!$A$544:$Z$612,19,FALSE),"")&lt;&gt;"",IF(convertString(B18, "prefix")&lt;&gt;"",VLOOKUP(convertString(B18, "prefix"),Items!$A$544:$Z$612,19,FALSE),""),"")</f>
        <v/>
      </c>
      <c r="P18" s="127" t="str">
        <f>IF(IF(convertString(B18, "prefix")&lt;&gt;"",VLOOKUP(convertString(B18, "prefix"),Items!$A$544:$Z$612,20,FALSE),"")&lt;&gt;"",IF(convertString(B18, "prefix")&lt;&gt;"",VLOOKUP(convertString(B18, "prefix"),Items!$A$544:$Z$612,20,FALSE),""),"")</f>
        <v/>
      </c>
      <c r="Q18" s="1" t="str">
        <f>IF(IF(convertString(B18, "prefix")&lt;&gt;"",VLOOKUP(convertString(B18, "prefix"),Items!$A$544:$Z$612,21,FALSE),"")&lt;&gt;"",IF(convertString(B18, "prefix")&lt;&gt;"",VLOOKUP(convertString(B18, "prefix"),Items!$A$544:$Z$612,21,FALSE),""),"")</f>
        <v/>
      </c>
    </row>
    <row r="19" spans="1:17" ht="15" hidden="1" customHeight="1">
      <c r="A19" s="99" t="s">
        <v>1146</v>
      </c>
      <c r="B19" s="201"/>
      <c r="C19" s="22" t="str">
        <f>IF(B19&lt;&gt;"",VLOOKUP(B19,Items!$A$616:$X$640,15,FALSE),"")</f>
        <v/>
      </c>
      <c r="D19" s="22" t="str">
        <f>IF(B19&lt;&gt;"",VLOOKUP(B19,Items!$A$616:$X$640,16,FALSE),"")</f>
        <v/>
      </c>
      <c r="E19" s="13" t="str">
        <f>IF(B19&lt;&gt;"",VLOOKUP(B19,Items!$A$616:$X$640,17,FALSE),"")</f>
        <v/>
      </c>
      <c r="F19" s="127" t="str">
        <f>IF(B19&lt;&gt;"",IF(VLOOKUP(B19,Items!$A$616:$X$640,19,FALSE)&lt;&gt;0,VLOOKUP(B19,Items!$A$616:$X$640,19,FALSE),""),"")</f>
        <v/>
      </c>
      <c r="G19" s="161" t="str">
        <f>IF(B19&lt;&gt;"",IF(VLOOKUP(B19,Items!$A$616:$X$640,20,FALSE)&lt;&gt;0,VLOOKUP(B19,Items!$A$616:$X$640,20,FALSE),""),"")</f>
        <v/>
      </c>
      <c r="H19" s="9" t="str">
        <f>IF(B19&lt;&gt;"",IF(VLOOKUP(B19,Items!$A$616:$X$640,21,FALSE)&lt;&gt;0,VLOOKUP(B19,Items!$A$616:$X$640,21,FALSE),""),"")</f>
        <v/>
      </c>
      <c r="I19" s="88" t="str">
        <f>IF(B19&lt;&gt;"",IF(VLOOKUP(B19,Items!$A$616:$X$640,22,FALSE)&lt;&gt;0,VLOOKUP(B19,Items!$A$616:$X$640,22,FALSE),""),"")</f>
        <v/>
      </c>
      <c r="J19" s="9" t="str">
        <f>IF(B19&lt;&gt;"",IF(VLOOKUP(B19,Items!$A$616:$X$640,23,FALSE)&lt;&gt;0,VLOOKUP(B19,Items!$A$616:$X$640,23,FALSE),""),"")</f>
        <v/>
      </c>
      <c r="K19" s="1" t="str">
        <f>IF(B19&lt;&gt;"",IF(VLOOKUP(B19,Items!$A$616:$X$640,24,FALSE)&lt;&gt;0,VLOOKUP(B19,Items!$A$616:$X$640,24,FALSE),""),"")</f>
        <v/>
      </c>
      <c r="L19" s="88"/>
      <c r="M19" s="9"/>
      <c r="N19" s="9"/>
      <c r="O19" s="88"/>
      <c r="P19" s="127"/>
      <c r="Q19" s="1"/>
    </row>
    <row r="20" spans="1:17" ht="15" hidden="1" customHeight="1">
      <c r="A20" s="99" t="s">
        <v>1147</v>
      </c>
      <c r="B20" s="201"/>
      <c r="C20" s="22" t="str">
        <f>IF(B20&lt;&gt;"",VLOOKUP(B20,Items!$A$616:$X$640,15,FALSE),"")</f>
        <v/>
      </c>
      <c r="D20" s="22" t="str">
        <f>IF(B20&lt;&gt;"",VLOOKUP(B20,Items!$A$616:$X$640,16,FALSE),"")</f>
        <v/>
      </c>
      <c r="E20" s="13" t="str">
        <f>IF(B20&lt;&gt;"",VLOOKUP(B20,Items!$A$616:$X$640,17,FALSE),"")</f>
        <v/>
      </c>
      <c r="F20" s="127" t="str">
        <f>IF(B20&lt;&gt;"",IF(VLOOKUP(B20,Items!$A$616:$X$640,19,FALSE)&lt;&gt;0,VLOOKUP(B20,Items!$A$616:$X$640,19,FALSE),""),"")</f>
        <v/>
      </c>
      <c r="G20" s="161" t="str">
        <f>IF(B20&lt;&gt;"",IF(VLOOKUP(B20,Items!$A$616:$X$640,20,FALSE)&lt;&gt;0,VLOOKUP(B20,Items!$A$616:$X$640,20,FALSE),""),"")</f>
        <v/>
      </c>
      <c r="H20" s="9" t="str">
        <f>IF(B20&lt;&gt;"",IF(VLOOKUP(B20,Items!$A$616:$X$640,21,FALSE)&lt;&gt;0,VLOOKUP(B20,Items!$A$616:$X$640,21,FALSE),""),"")</f>
        <v/>
      </c>
      <c r="I20" s="88" t="str">
        <f>IF(B20&lt;&gt;"",IF(VLOOKUP(B20,Items!$A$616:$X$640,22,FALSE)&lt;&gt;0,VLOOKUP(B20,Items!$A$616:$X$640,22,FALSE),""),"")</f>
        <v/>
      </c>
      <c r="J20" s="9" t="str">
        <f>IF(B20&lt;&gt;"",IF(VLOOKUP(B20,Items!$A$616:$X$640,23,FALSE)&lt;&gt;0,VLOOKUP(B20,Items!$A$616:$X$640,23,FALSE),""),"")</f>
        <v/>
      </c>
      <c r="K20" s="1" t="str">
        <f>IF(B20&lt;&gt;"",IF(VLOOKUP(B20,Items!$A$616:$X$640,24,FALSE)&lt;&gt;0,VLOOKUP(B20,Items!$A$616:$X$640,24,FALSE),""),"")</f>
        <v/>
      </c>
      <c r="L20" s="88"/>
      <c r="M20" s="9"/>
      <c r="N20" s="9"/>
      <c r="O20" s="88"/>
      <c r="P20" s="127"/>
      <c r="Q20" s="1"/>
    </row>
    <row r="21" spans="1:17" hidden="1">
      <c r="A21" s="99" t="s">
        <v>1148</v>
      </c>
      <c r="B21" s="201"/>
      <c r="C21" s="22" t="str">
        <f>IF(B21&lt;&gt;"",VLOOKUP(B21,Items!$A$616:$X$640,15,FALSE),"")</f>
        <v/>
      </c>
      <c r="D21" s="22" t="str">
        <f>IF(B21&lt;&gt;"",VLOOKUP(B21,Items!$A$616:$X$640,16,FALSE),"")</f>
        <v/>
      </c>
      <c r="E21" s="13" t="str">
        <f>IF(B21&lt;&gt;"",VLOOKUP(B21,Items!$A$616:$X$640,17,FALSE),"")</f>
        <v/>
      </c>
      <c r="F21" s="127" t="str">
        <f>IF(B21&lt;&gt;"",IF(VLOOKUP(B21,Items!$A$616:$X$640,19,FALSE)&lt;&gt;0,VLOOKUP(B21,Items!$A$616:$X$640,19,FALSE),""),"")</f>
        <v/>
      </c>
      <c r="G21" s="161" t="str">
        <f>IF(B21&lt;&gt;"",IF(VLOOKUP(B21,Items!$A$616:$X$640,20,FALSE)&lt;&gt;0,VLOOKUP(B21,Items!$A$616:$X$640,20,FALSE),""),"")</f>
        <v/>
      </c>
      <c r="H21" s="9" t="str">
        <f>IF(B21&lt;&gt;"",IF(VLOOKUP(B21,Items!$A$616:$X$640,21,FALSE)&lt;&gt;0,VLOOKUP(B21,Items!$A$616:$X$640,21,FALSE),""),"")</f>
        <v/>
      </c>
      <c r="I21" s="88" t="str">
        <f>IF(B21&lt;&gt;"",IF(VLOOKUP(B21,Items!$A$616:$X$640,22,FALSE)&lt;&gt;0,VLOOKUP(B21,Items!$A$616:$X$640,22,FALSE),""),"")</f>
        <v/>
      </c>
      <c r="J21" s="9" t="str">
        <f>IF(B21&lt;&gt;"",IF(VLOOKUP(B21,Items!$A$616:$X$640,23,FALSE)&lt;&gt;0,VLOOKUP(B21,Items!$A$616:$X$640,23,FALSE),""),"")</f>
        <v/>
      </c>
      <c r="K21" s="1" t="str">
        <f>IF(B21&lt;&gt;"",IF(VLOOKUP(B21,Items!$A$616:$X$640,24,FALSE)&lt;&gt;0,VLOOKUP(B21,Items!$A$616:$X$640,24,FALSE),""),"")</f>
        <v/>
      </c>
      <c r="L21" s="88"/>
      <c r="M21" s="9"/>
      <c r="N21" s="9"/>
      <c r="O21" s="88"/>
      <c r="P21" s="127"/>
      <c r="Q21" s="1"/>
    </row>
    <row r="22" spans="1:17" ht="15" hidden="1" customHeight="1">
      <c r="A22" s="99" t="s">
        <v>1149</v>
      </c>
      <c r="B22" s="201"/>
      <c r="C22" s="22" t="str">
        <f>IF(B22&lt;&gt;"",VLOOKUP(B22,Items!$A$616:$X$640,15,FALSE),"")</f>
        <v/>
      </c>
      <c r="D22" s="22" t="str">
        <f>IF(B22&lt;&gt;"",VLOOKUP(B22,Items!$A$616:$X$640,16,FALSE),"")</f>
        <v/>
      </c>
      <c r="E22" s="13" t="str">
        <f>IF(B22&lt;&gt;"",VLOOKUP(B22,Items!$A$616:$X$640,17,FALSE),"")</f>
        <v/>
      </c>
      <c r="F22" s="127" t="str">
        <f>IF(B22&lt;&gt;"",IF(VLOOKUP(B22,Items!$A$616:$X$640,19,FALSE)&lt;&gt;0,VLOOKUP(B22,Items!$A$616:$X$640,19,FALSE),""),"")</f>
        <v/>
      </c>
      <c r="G22" s="161" t="str">
        <f>IF(B22&lt;&gt;"",IF(VLOOKUP(B22,Items!$A$616:$X$640,20,FALSE)&lt;&gt;0,VLOOKUP(B22,Items!$A$616:$X$640,20,FALSE),""),"")</f>
        <v/>
      </c>
      <c r="H22" s="9" t="str">
        <f>IF(B22&lt;&gt;"",IF(VLOOKUP(B22,Items!$A$616:$X$640,21,FALSE)&lt;&gt;0,VLOOKUP(B22,Items!$A$616:$X$640,21,FALSE),""),"")</f>
        <v/>
      </c>
      <c r="I22" s="88" t="str">
        <f>IF(B22&lt;&gt;"",IF(VLOOKUP(B22,Items!$A$616:$X$640,22,FALSE)&lt;&gt;0,VLOOKUP(B22,Items!$A$616:$X$640,22,FALSE),""),"")</f>
        <v/>
      </c>
      <c r="J22" s="9" t="str">
        <f>IF(B22&lt;&gt;"",IF(VLOOKUP(B22,Items!$A$616:$X$640,23,FALSE)&lt;&gt;0,VLOOKUP(B22,Items!$A$616:$X$640,23,FALSE),""),"")</f>
        <v/>
      </c>
      <c r="K22" s="1" t="str">
        <f>IF(B22&lt;&gt;"",IF(VLOOKUP(B22,Items!$A$616:$X$640,24,FALSE)&lt;&gt;0,VLOOKUP(B22,Items!$A$616:$X$640,24,FALSE),""),"")</f>
        <v/>
      </c>
      <c r="L22" s="88"/>
      <c r="M22" s="9"/>
      <c r="N22" s="9"/>
      <c r="O22" s="88"/>
      <c r="P22" s="127"/>
      <c r="Q22" s="1"/>
    </row>
    <row r="23" spans="1:17" ht="15" hidden="1" customHeight="1">
      <c r="A23" s="99" t="s">
        <v>1150</v>
      </c>
      <c r="B23" s="201"/>
      <c r="C23" s="22" t="str">
        <f>IF(B23&lt;&gt;"",VLOOKUP(B23,Items!$A$616:$X$640,15,FALSE),"")</f>
        <v/>
      </c>
      <c r="D23" s="22" t="str">
        <f>IF(B23&lt;&gt;"",VLOOKUP(B23,Items!$A$616:$X$640,16,FALSE),"")</f>
        <v/>
      </c>
      <c r="E23" s="13" t="str">
        <f>IF(B23&lt;&gt;"",VLOOKUP(B23,Items!$A$616:$X$640,17,FALSE),"")</f>
        <v/>
      </c>
      <c r="F23" s="127" t="str">
        <f>IF(B23&lt;&gt;"",IF(VLOOKUP(B23,Items!$A$616:$X$640,19,FALSE)&lt;&gt;0,VLOOKUP(B23,Items!$A$616:$X$640,19,FALSE),""),"")</f>
        <v/>
      </c>
      <c r="G23" s="161" t="str">
        <f>IF(B23&lt;&gt;"",IF(VLOOKUP(B23,Items!$A$616:$X$640,20,FALSE)&lt;&gt;0,VLOOKUP(B23,Items!$A$616:$X$640,20,FALSE),""),"")</f>
        <v/>
      </c>
      <c r="H23" s="9" t="str">
        <f>IF(B23&lt;&gt;"",IF(VLOOKUP(B23,Items!$A$616:$X$640,21,FALSE)&lt;&gt;0,VLOOKUP(B23,Items!$A$616:$X$640,21,FALSE),""),"")</f>
        <v/>
      </c>
      <c r="I23" s="88" t="str">
        <f>IF(B23&lt;&gt;"",IF(VLOOKUP(B23,Items!$A$616:$X$640,22,FALSE)&lt;&gt;0,VLOOKUP(B23,Items!$A$616:$X$640,22,FALSE),""),"")</f>
        <v/>
      </c>
      <c r="J23" s="9" t="str">
        <f>IF(B23&lt;&gt;"",IF(VLOOKUP(B23,Items!$A$616:$X$640,23,FALSE)&lt;&gt;0,VLOOKUP(B23,Items!$A$616:$X$640,23,FALSE),""),"")</f>
        <v/>
      </c>
      <c r="K23" s="1" t="str">
        <f>IF(B23&lt;&gt;"",IF(VLOOKUP(B23,Items!$A$616:$X$640,24,FALSE)&lt;&gt;0,VLOOKUP(B23,Items!$A$616:$X$640,24,FALSE),""),"")</f>
        <v/>
      </c>
      <c r="L23" s="88"/>
      <c r="M23" s="9"/>
      <c r="N23" s="9"/>
      <c r="O23" s="88"/>
      <c r="P23" s="127"/>
      <c r="Q23" s="1"/>
    </row>
    <row r="24" spans="1:17" ht="15" hidden="1" customHeight="1">
      <c r="A24" s="99" t="s">
        <v>1151</v>
      </c>
      <c r="B24" s="201"/>
      <c r="C24" s="22" t="str">
        <f>IF(B24&lt;&gt;"",VLOOKUP(B24,Items!$A$616:$X$640,15,FALSE),"")</f>
        <v/>
      </c>
      <c r="D24" s="22" t="str">
        <f>IF(B24&lt;&gt;"",VLOOKUP(B24,Items!$A$616:$X$640,16,FALSE),"")</f>
        <v/>
      </c>
      <c r="E24" s="13" t="str">
        <f>IF(B24&lt;&gt;"",VLOOKUP(B24,Items!$A$616:$X$640,17,FALSE),"")</f>
        <v/>
      </c>
      <c r="F24" s="127" t="str">
        <f>IF(B24&lt;&gt;"",IF(VLOOKUP(B24,Items!$A$616:$X$640,19,FALSE)&lt;&gt;0,VLOOKUP(B24,Items!$A$616:$X$640,19,FALSE),""),"")</f>
        <v/>
      </c>
      <c r="G24" s="161" t="str">
        <f>IF(B24&lt;&gt;"",IF(VLOOKUP(B24,Items!$A$616:$X$640,20,FALSE)&lt;&gt;0,VLOOKUP(B24,Items!$A$616:$X$640,20,FALSE),""),"")</f>
        <v/>
      </c>
      <c r="H24" s="9" t="str">
        <f>IF(B24&lt;&gt;"",IF(VLOOKUP(B24,Items!$A$616:$X$640,21,FALSE)&lt;&gt;0,VLOOKUP(B24,Items!$A$616:$X$640,21,FALSE),""),"")</f>
        <v/>
      </c>
      <c r="I24" s="88" t="str">
        <f>IF(B24&lt;&gt;"",IF(VLOOKUP(B24,Items!$A$616:$X$640,22,FALSE)&lt;&gt;0,VLOOKUP(B24,Items!$A$616:$X$640,22,FALSE),""),"")</f>
        <v/>
      </c>
      <c r="J24" s="9" t="str">
        <f>IF(B24&lt;&gt;"",IF(VLOOKUP(B24,Items!$A$616:$X$640,23,FALSE)&lt;&gt;0,VLOOKUP(B24,Items!$A$616:$X$640,23,FALSE),""),"")</f>
        <v/>
      </c>
      <c r="K24" s="1" t="str">
        <f>IF(B24&lt;&gt;"",IF(VLOOKUP(B24,Items!$A$616:$X$640,24,FALSE)&lt;&gt;0,VLOOKUP(B24,Items!$A$616:$X$640,24,FALSE),""),"")</f>
        <v/>
      </c>
      <c r="L24" s="88"/>
      <c r="M24" s="9"/>
      <c r="N24" s="9"/>
      <c r="O24" s="88"/>
      <c r="P24" s="127"/>
      <c r="Q24" s="1"/>
    </row>
    <row r="25" spans="1:17" ht="15" customHeight="1">
      <c r="F25" s="86"/>
      <c r="G25" s="9"/>
      <c r="H25" s="9"/>
      <c r="I25" s="89"/>
      <c r="J25" s="9"/>
      <c r="K25" s="1"/>
      <c r="L25" s="319"/>
      <c r="M25" s="320"/>
      <c r="N25" s="142" t="s">
        <v>561</v>
      </c>
      <c r="O25" s="90" t="s">
        <v>562</v>
      </c>
      <c r="P25" s="91" t="s">
        <v>563</v>
      </c>
      <c r="Q25" s="144"/>
    </row>
    <row r="26" spans="1:17" ht="15" customHeight="1">
      <c r="A26" s="9"/>
      <c r="C26" s="23"/>
      <c r="D26" s="23"/>
      <c r="E26" s="23"/>
      <c r="F26" s="83" t="s">
        <v>818</v>
      </c>
      <c r="G26" s="120" t="str">
        <f>convertLordPercentage(F3:Q24,"Fight",IF(L25="",'Stats Scores'!$AP$2,L25))</f>
        <v>0%</v>
      </c>
      <c r="H26" s="53" t="s">
        <v>825</v>
      </c>
      <c r="I26" s="120" t="str">
        <f>convertLordPercentage(F3:Q24,"Barter",IF(L25="",'Stats Scores'!$AP$2,L25))</f>
        <v>0%</v>
      </c>
      <c r="J26" s="44" t="s">
        <v>827</v>
      </c>
      <c r="K26" s="123" t="str">
        <f>convertLordPercentage(F3:Q24,"Spy",IF(L25="",'Stats Scores'!$AP$2,L25))</f>
        <v>0%</v>
      </c>
      <c r="L26" s="321" t="s">
        <v>819</v>
      </c>
      <c r="M26" s="322"/>
      <c r="N26" s="95">
        <f>ROUNDUP(getscore(C28,G26,"Fight",L25),0)</f>
        <v>5</v>
      </c>
      <c r="O26" s="95">
        <f>ROUNDUP(getscore(D28,I26,"Barter",L25),0)</f>
        <v>20</v>
      </c>
      <c r="P26" s="82">
        <f>ROUNDUP(getscore(E28,K26,"Spy",L25),0)</f>
        <v>11</v>
      </c>
      <c r="Q26" s="143"/>
    </row>
    <row r="27" spans="1:17" ht="15" customHeight="1">
      <c r="A27" s="46"/>
      <c r="B27" s="2"/>
      <c r="C27" s="22"/>
      <c r="D27" s="22"/>
      <c r="E27" s="22"/>
      <c r="F27" s="83" t="s">
        <v>753</v>
      </c>
      <c r="G27" s="121" t="str">
        <f>convertLordPercentage(F3:Q24,"Harass",IF(L25="",'Stats Scores'!$AP$2,L25))</f>
        <v>0%</v>
      </c>
      <c r="H27" s="2" t="s">
        <v>829</v>
      </c>
      <c r="I27" s="121" t="str">
        <f>convertLordPercentage(F3:Q24,"Swindle",IF(L25="",'Stats Scores'!$AP$2,L25))</f>
        <v>0%</v>
      </c>
      <c r="J27" s="9" t="s">
        <v>828</v>
      </c>
      <c r="K27" s="124" t="str">
        <f>convertLordPercentage(F3:Q24,"Sabotage",IF(L25="",'Stats Scores'!$AP$2,L25))</f>
        <v>0%</v>
      </c>
      <c r="L27" s="321" t="s">
        <v>820</v>
      </c>
      <c r="M27" s="322"/>
      <c r="N27" s="95">
        <f>ROUNDUP(getscore(C28,G27,"Harass",L25),0)</f>
        <v>5</v>
      </c>
      <c r="O27" s="95">
        <f>ROUNDUP(getscore(D28,I27,"Swindle",L25),0)</f>
        <v>20</v>
      </c>
      <c r="P27" s="82">
        <f>ROUNDUP(getscore(E28,K27,"Sabotage",L25),0)</f>
        <v>11</v>
      </c>
      <c r="Q27" s="143"/>
    </row>
    <row r="28" spans="1:17">
      <c r="A28" s="56" t="s">
        <v>635</v>
      </c>
      <c r="B28" s="20"/>
      <c r="C28" s="33">
        <f>C4+C11+C18</f>
        <v>1</v>
      </c>
      <c r="D28" s="33">
        <f t="shared" ref="D28:E28" si="0">D4+D11+D18</f>
        <v>7</v>
      </c>
      <c r="E28" s="33">
        <f t="shared" si="0"/>
        <v>1</v>
      </c>
      <c r="F28" s="84" t="s">
        <v>824</v>
      </c>
      <c r="G28" s="122" t="str">
        <f>convertLordPercentage(F3:Q24,"Aid",IF(L25="",'Stats Scores'!$AP$2,L25))</f>
        <v>0%</v>
      </c>
      <c r="H28" s="20" t="s">
        <v>826</v>
      </c>
      <c r="I28" s="122" t="str">
        <f>convertLordPercentage(F3:Q24,"Bribe",IF(L25="",'Stats Scores'!$AP$2,L25))</f>
        <v>0%</v>
      </c>
      <c r="J28" s="20" t="s">
        <v>830</v>
      </c>
      <c r="K28" s="125" t="str">
        <f>convertLordPercentage(F3:Q24,"Steal",IF(L25="",'Stats Scores'!$AP$2,L25))</f>
        <v>0%</v>
      </c>
      <c r="L28" s="317" t="s">
        <v>821</v>
      </c>
      <c r="M28" s="318"/>
      <c r="N28" s="131">
        <f>ROUNDUP(getscore(C28,G28,"Aid",L25),0)</f>
        <v>5</v>
      </c>
      <c r="O28" s="131">
        <f>ROUNDUP(getscore(D28,I28,"Bribe",L25),0)</f>
        <v>27</v>
      </c>
      <c r="P28" s="132">
        <f>ROUNDUP(getscore(E28,K28,"Steal",L25),0)</f>
        <v>11</v>
      </c>
      <c r="Q28" s="111"/>
    </row>
    <row r="31" spans="1:17">
      <c r="A31" t="s">
        <v>561</v>
      </c>
    </row>
    <row r="35" spans="1:12">
      <c r="A35" s="1" t="s">
        <v>565</v>
      </c>
      <c r="B35" s="210"/>
      <c r="C35" s="211"/>
      <c r="D35" s="212"/>
      <c r="E35" s="213"/>
      <c r="F35" s="214"/>
      <c r="G35" s="215"/>
      <c r="H35" s="216"/>
      <c r="I35" s="214"/>
      <c r="J35" s="216"/>
      <c r="K35" s="217"/>
      <c r="L35" s="168"/>
    </row>
    <row r="38" spans="1:12">
      <c r="A38" t="s">
        <v>1196</v>
      </c>
    </row>
    <row r="39" spans="1:12">
      <c r="A39" t="s">
        <v>1197</v>
      </c>
    </row>
    <row r="40" spans="1:12">
      <c r="A40" t="s">
        <v>1198</v>
      </c>
    </row>
    <row r="41" spans="1:12">
      <c r="A41" t="s">
        <v>1199</v>
      </c>
    </row>
    <row r="42" spans="1:12">
      <c r="A42" t="s">
        <v>1200</v>
      </c>
    </row>
    <row r="43" spans="1:12">
      <c r="A43" t="s">
        <v>1201</v>
      </c>
    </row>
    <row r="44" spans="1:12">
      <c r="A44" t="s">
        <v>1202</v>
      </c>
    </row>
    <row r="45" spans="1:12">
      <c r="A45" t="s">
        <v>1203</v>
      </c>
    </row>
    <row r="50" spans="1:1">
      <c r="A50" s="306" t="s">
        <v>1205</v>
      </c>
    </row>
    <row r="51" spans="1:1">
      <c r="A51" s="306" t="s">
        <v>1204</v>
      </c>
    </row>
  </sheetData>
  <mergeCells count="4">
    <mergeCell ref="L28:M28"/>
    <mergeCell ref="L25:M25"/>
    <mergeCell ref="L26:M26"/>
    <mergeCell ref="L27:M27"/>
  </mergeCells>
  <conditionalFormatting sqref="P3:P17 N3">
    <cfRule type="colorScale" priority="6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25:N27">
    <cfRule type="colorScale" priority="5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P3:P17">
    <cfRule type="colorScale" priority="4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O19:P24">
    <cfRule type="colorScale" priority="3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26:P28">
    <cfRule type="colorScale" priority="2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P18">
    <cfRule type="colorScale" priority="1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ignoredErrors>
    <ignoredError sqref="F11:K18 C11:E18" formula="1"/>
  </ignoredErrors>
  <legacyDrawing r:id="rId2"/>
  <controls>
    <control shapeId="14339" r:id="rId3" name="cmdAddSS"/>
    <control shapeId="14338" r:id="rId4" name="cmdAddItem"/>
    <control shapeId="14337" r:id="rId5" name="cmdHide"/>
    <control shapeId="14342" r:id="rId6" name="cboAddItem"/>
    <control shapeId="14343" r:id="rId7" name="cboAddSS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3"/>
  <dimension ref="A1:AP57"/>
  <sheetViews>
    <sheetView zoomScale="120" zoomScaleNormal="120" workbookViewId="0">
      <pane ySplit="1" topLeftCell="A2" activePane="bottomLeft" state="frozen"/>
      <selection pane="bottomLeft" activeCell="J15" sqref="J15"/>
    </sheetView>
  </sheetViews>
  <sheetFormatPr defaultRowHeight="15"/>
  <cols>
    <col min="1" max="1" width="17.140625" bestFit="1" customWidth="1"/>
    <col min="2" max="2" width="11" style="40" customWidth="1"/>
    <col min="3" max="3" width="14.7109375" customWidth="1"/>
    <col min="4" max="4" width="7.5703125" style="40" customWidth="1"/>
    <col min="5" max="5" width="11" customWidth="1"/>
    <col min="6" max="6" width="7.85546875" style="40" customWidth="1"/>
    <col min="7" max="7" width="13.42578125" customWidth="1"/>
    <col min="10" max="10" width="24.28515625" style="202" bestFit="1" customWidth="1"/>
    <col min="11" max="19" width="9.140625" style="202"/>
  </cols>
  <sheetData>
    <row r="1" spans="1:42">
      <c r="A1" t="s">
        <v>561</v>
      </c>
      <c r="B1" s="68">
        <f>Main!C28+B3</f>
        <v>4</v>
      </c>
      <c r="C1" t="s">
        <v>562</v>
      </c>
      <c r="D1" s="68">
        <f>Main!D28+D3</f>
        <v>13</v>
      </c>
      <c r="E1" t="s">
        <v>563</v>
      </c>
      <c r="F1" s="68">
        <f>Main!E28+F3</f>
        <v>10</v>
      </c>
      <c r="J1" s="218" t="s">
        <v>630</v>
      </c>
      <c r="K1" s="219" t="s">
        <v>621</v>
      </c>
      <c r="L1" s="219" t="s">
        <v>622</v>
      </c>
      <c r="M1" s="219" t="s">
        <v>623</v>
      </c>
      <c r="N1" s="219" t="s">
        <v>624</v>
      </c>
      <c r="O1" s="219" t="s">
        <v>625</v>
      </c>
      <c r="P1" s="219" t="s">
        <v>628</v>
      </c>
      <c r="Q1" s="219" t="s">
        <v>627</v>
      </c>
      <c r="R1" s="219" t="s">
        <v>629</v>
      </c>
      <c r="S1" s="220" t="s">
        <v>626</v>
      </c>
      <c r="X1" t="s">
        <v>831</v>
      </c>
    </row>
    <row r="2" spans="1:42">
      <c r="J2" s="246" t="str">
        <f>'Battle SS'!$A$2</f>
        <v>Helpful Maddy Farring</v>
      </c>
      <c r="K2" s="233">
        <f>'Battle SS'!$N$33</f>
        <v>17</v>
      </c>
      <c r="L2" s="234">
        <f>'Battle SS'!$N$34</f>
        <v>16</v>
      </c>
      <c r="M2" s="235">
        <f>'Battle SS'!$N$35</f>
        <v>16</v>
      </c>
      <c r="N2" s="234">
        <f>'Battle SS'!$O$33</f>
        <v>13</v>
      </c>
      <c r="O2" s="234">
        <f>'Battle SS'!$O$34</f>
        <v>13</v>
      </c>
      <c r="P2" s="235">
        <f>'Battle SS'!$O$35</f>
        <v>18</v>
      </c>
      <c r="Q2" s="234">
        <f>'Battle SS'!$P$33</f>
        <v>10</v>
      </c>
      <c r="R2" s="234">
        <f>'Battle SS'!$P$34</f>
        <v>10</v>
      </c>
      <c r="S2" s="235">
        <f>'Battle SS'!$P$35</f>
        <v>10</v>
      </c>
      <c r="X2">
        <f>LARGE(K2:M2,1)</f>
        <v>17</v>
      </c>
      <c r="AP2" t="s">
        <v>566</v>
      </c>
    </row>
    <row r="3" spans="1:42">
      <c r="A3" s="163" t="s">
        <v>1179</v>
      </c>
      <c r="B3" s="229">
        <v>3</v>
      </c>
      <c r="C3" s="164"/>
      <c r="D3" s="229">
        <v>6</v>
      </c>
      <c r="E3" s="164"/>
      <c r="F3" s="229">
        <v>9</v>
      </c>
      <c r="G3" s="8" t="s">
        <v>1181</v>
      </c>
      <c r="J3" s="309" t="str">
        <f>'Battle SS'!$A$37</f>
        <v>Deadly Donnel Follard</v>
      </c>
      <c r="K3" s="236">
        <f>'Battle SS'!$N$68</f>
        <v>25</v>
      </c>
      <c r="L3" s="234">
        <f>'Battle SS'!$N$69</f>
        <v>26</v>
      </c>
      <c r="M3" s="237">
        <f>'Battle SS'!$N$70</f>
        <v>25</v>
      </c>
      <c r="N3" s="234">
        <f>'Battle SS'!$O$68</f>
        <v>13</v>
      </c>
      <c r="O3" s="234">
        <f>'Battle SS'!$O$69</f>
        <v>13</v>
      </c>
      <c r="P3" s="235">
        <f>'Battle SS'!$O$70</f>
        <v>18</v>
      </c>
      <c r="Q3" s="234">
        <f>'Battle SS'!$P$68</f>
        <v>15</v>
      </c>
      <c r="R3" s="234">
        <f>'Battle SS'!$P$69</f>
        <v>15</v>
      </c>
      <c r="S3" s="235">
        <f>'Battle SS'!$P$70</f>
        <v>15</v>
      </c>
      <c r="X3">
        <f>LARGE(K3:M3,1)</f>
        <v>26</v>
      </c>
      <c r="AP3" t="b">
        <v>0</v>
      </c>
    </row>
    <row r="4" spans="1:42">
      <c r="J4" s="171" t="str">
        <f>'Trade SS'!$A$2</f>
        <v>Doreah Staedmon</v>
      </c>
      <c r="K4" s="238">
        <f>'Trade SS'!$N$33</f>
        <v>4</v>
      </c>
      <c r="L4" s="239">
        <f>'Trade SS'!$N$34</f>
        <v>4</v>
      </c>
      <c r="M4" s="240">
        <f>'Trade SS'!$N$35</f>
        <v>4</v>
      </c>
      <c r="N4" s="239">
        <f>'Trade SS'!$O$33</f>
        <v>25</v>
      </c>
      <c r="O4" s="239">
        <f>'Trade SS'!$O$34</f>
        <v>25</v>
      </c>
      <c r="P4" s="240">
        <f>'Trade SS'!$O$35</f>
        <v>35</v>
      </c>
      <c r="Q4" s="239">
        <f>'Trade SS'!$P$33</f>
        <v>10</v>
      </c>
      <c r="R4" s="239">
        <f>'Trade SS'!$P$34</f>
        <v>10</v>
      </c>
      <c r="S4" s="240">
        <f>'Trade SS'!$P$35</f>
        <v>10</v>
      </c>
      <c r="X4">
        <f>LARGE(N4:P4,1)</f>
        <v>35</v>
      </c>
    </row>
    <row r="5" spans="1:42">
      <c r="A5" s="39" t="s">
        <v>949</v>
      </c>
      <c r="J5" s="171" t="str">
        <f>'Trade SS'!$A$37</f>
        <v>Trade Base</v>
      </c>
      <c r="K5" s="241">
        <f>'Trade SS'!$N$68</f>
        <v>4</v>
      </c>
      <c r="L5" s="242">
        <f>'Trade SS'!$N$69</f>
        <v>4</v>
      </c>
      <c r="M5" s="243">
        <f>'Trade SS'!$N$70</f>
        <v>4</v>
      </c>
      <c r="N5" s="242">
        <f>'Trade SS'!$O$68</f>
        <v>14</v>
      </c>
      <c r="O5" s="242">
        <f>'Trade SS'!$O$69</f>
        <v>14</v>
      </c>
      <c r="P5" s="243">
        <f>'Trade SS'!$O$70</f>
        <v>20</v>
      </c>
      <c r="Q5" s="242">
        <f>'Trade SS'!$P$68</f>
        <v>10</v>
      </c>
      <c r="R5" s="242">
        <f>'Trade SS'!$P$69</f>
        <v>10</v>
      </c>
      <c r="S5" s="243">
        <f>'Trade SS'!$P$70</f>
        <v>10</v>
      </c>
      <c r="X5">
        <f>LARGE(N5:P5,1)</f>
        <v>20</v>
      </c>
    </row>
    <row r="6" spans="1:42">
      <c r="A6" t="s">
        <v>621</v>
      </c>
      <c r="B6" s="228">
        <v>0</v>
      </c>
      <c r="C6" t="s">
        <v>624</v>
      </c>
      <c r="D6" s="228">
        <v>0</v>
      </c>
      <c r="E6" t="s">
        <v>627</v>
      </c>
      <c r="F6" s="228">
        <v>0</v>
      </c>
      <c r="J6" s="171" t="str">
        <f>'Intrigue SS'!$A$2</f>
        <v>Lazy Aerion Cleftjaw</v>
      </c>
      <c r="K6" s="239">
        <f>'Intrigue SS'!$N$33</f>
        <v>4</v>
      </c>
      <c r="L6" s="239">
        <f>'Intrigue SS'!$N$34</f>
        <v>4</v>
      </c>
      <c r="M6" s="240">
        <f>'Intrigue SS'!$N$35</f>
        <v>4</v>
      </c>
      <c r="N6" s="239">
        <f>'Intrigue SS'!$O$33</f>
        <v>16</v>
      </c>
      <c r="O6" s="239">
        <f>'Intrigue SS'!$O$34</f>
        <v>16</v>
      </c>
      <c r="P6" s="240">
        <f>'Intrigue SS'!$O$35</f>
        <v>22</v>
      </c>
      <c r="Q6" s="239">
        <f>'Intrigue SS'!$P$33</f>
        <v>16</v>
      </c>
      <c r="R6" s="239">
        <f>'Intrigue SS'!$P$34</f>
        <v>16</v>
      </c>
      <c r="S6" s="240">
        <f>'Intrigue SS'!$P$35</f>
        <v>15</v>
      </c>
      <c r="X6">
        <f>LARGE(Q6:S6,1)</f>
        <v>16</v>
      </c>
    </row>
    <row r="7" spans="1:42">
      <c r="A7" t="s">
        <v>622</v>
      </c>
      <c r="B7" s="228">
        <v>0</v>
      </c>
      <c r="C7" t="s">
        <v>625</v>
      </c>
      <c r="D7" s="228">
        <v>0</v>
      </c>
      <c r="E7" t="s">
        <v>629</v>
      </c>
      <c r="F7" s="228">
        <v>0</v>
      </c>
      <c r="J7" s="315" t="str">
        <f>'Intrigue SS'!$A$37</f>
        <v>Intrigue Base</v>
      </c>
      <c r="K7" s="244">
        <f>'Intrigue SS'!$N$68</f>
        <v>4</v>
      </c>
      <c r="L7" s="244">
        <f>'Intrigue SS'!$N$69</f>
        <v>4</v>
      </c>
      <c r="M7" s="245">
        <f>'Intrigue SS'!$N$70</f>
        <v>4</v>
      </c>
      <c r="N7" s="244">
        <f>'Intrigue SS'!$O$68</f>
        <v>13</v>
      </c>
      <c r="O7" s="244">
        <f>'Intrigue SS'!$O$69</f>
        <v>13</v>
      </c>
      <c r="P7" s="245">
        <f>'Intrigue SS'!$O$70</f>
        <v>18</v>
      </c>
      <c r="Q7" s="244">
        <f>'Intrigue SS'!$P$68</f>
        <v>11</v>
      </c>
      <c r="R7" s="244">
        <f>'Intrigue SS'!$P$69</f>
        <v>11</v>
      </c>
      <c r="S7" s="245">
        <f>'Intrigue SS'!$P$70</f>
        <v>11</v>
      </c>
      <c r="X7">
        <f>LARGE(Q7:S7,1)</f>
        <v>11</v>
      </c>
    </row>
    <row r="8" spans="1:42">
      <c r="A8" t="s">
        <v>623</v>
      </c>
      <c r="B8" s="228">
        <v>0</v>
      </c>
      <c r="C8" t="s">
        <v>628</v>
      </c>
      <c r="D8" s="228">
        <v>37</v>
      </c>
      <c r="E8" t="s">
        <v>626</v>
      </c>
      <c r="F8" s="228">
        <v>0</v>
      </c>
      <c r="H8" s="146"/>
    </row>
    <row r="9" spans="1:42">
      <c r="A9" s="39" t="s">
        <v>950</v>
      </c>
      <c r="B9" s="228"/>
      <c r="D9" s="228"/>
      <c r="F9" s="228"/>
      <c r="H9" s="199"/>
    </row>
    <row r="10" spans="1:42">
      <c r="A10" t="s">
        <v>621</v>
      </c>
      <c r="B10" s="228">
        <v>0</v>
      </c>
      <c r="C10" t="s">
        <v>624</v>
      </c>
      <c r="D10" s="228">
        <v>0</v>
      </c>
      <c r="E10" t="s">
        <v>627</v>
      </c>
      <c r="F10" s="228">
        <v>0</v>
      </c>
      <c r="H10" s="147"/>
    </row>
    <row r="11" spans="1:42">
      <c r="A11" t="s">
        <v>622</v>
      </c>
      <c r="B11" s="228">
        <v>0</v>
      </c>
      <c r="C11" t="s">
        <v>625</v>
      </c>
      <c r="D11" s="228">
        <v>0</v>
      </c>
      <c r="E11" t="s">
        <v>629</v>
      </c>
      <c r="F11" s="228">
        <v>0</v>
      </c>
      <c r="H11" s="68"/>
    </row>
    <row r="12" spans="1:42">
      <c r="A12" t="s">
        <v>623</v>
      </c>
      <c r="B12" s="228">
        <v>0</v>
      </c>
      <c r="C12" t="s">
        <v>628</v>
      </c>
      <c r="D12" s="228">
        <v>16</v>
      </c>
      <c r="E12" t="s">
        <v>626</v>
      </c>
      <c r="F12" s="228">
        <v>0</v>
      </c>
      <c r="T12" s="9"/>
      <c r="U12" s="9"/>
      <c r="V12" s="9"/>
      <c r="W12" s="9"/>
      <c r="X12" s="9"/>
    </row>
    <row r="13" spans="1:42">
      <c r="A13" s="39" t="s">
        <v>948</v>
      </c>
      <c r="H13" s="98"/>
      <c r="T13" s="9"/>
      <c r="U13" s="9"/>
      <c r="V13" s="9"/>
      <c r="W13" s="9"/>
      <c r="X13" s="9"/>
    </row>
    <row r="14" spans="1:42">
      <c r="A14" t="s">
        <v>621</v>
      </c>
      <c r="B14" s="80">
        <f>ROUNDUP(B$1*(1+(B6/100)),0)</f>
        <v>4</v>
      </c>
      <c r="C14" t="s">
        <v>624</v>
      </c>
      <c r="D14" s="80">
        <f>ROUNDUP(D$1*(1+(D6/100)),0)</f>
        <v>13</v>
      </c>
      <c r="E14" t="s">
        <v>627</v>
      </c>
      <c r="F14" s="80">
        <f>ROUNDUP(F$1*(1+(F6/100)),0)</f>
        <v>10</v>
      </c>
      <c r="H14" s="40"/>
      <c r="J14" s="223"/>
      <c r="K14" s="221"/>
      <c r="L14" s="224"/>
      <c r="M14" s="221"/>
      <c r="N14" s="221"/>
      <c r="O14" s="221"/>
      <c r="P14" s="221"/>
      <c r="Q14" s="221"/>
      <c r="R14" s="221"/>
      <c r="S14" s="221"/>
      <c r="T14" s="9"/>
      <c r="U14" s="9"/>
    </row>
    <row r="15" spans="1:42">
      <c r="A15" t="s">
        <v>622</v>
      </c>
      <c r="B15" s="80">
        <f>ROUNDUP(B$1*(1+(B7/100)),0)</f>
        <v>4</v>
      </c>
      <c r="C15" t="s">
        <v>625</v>
      </c>
      <c r="D15" s="80">
        <f>ROUNDUP(D$1*(1+(D7/100)),0)</f>
        <v>13</v>
      </c>
      <c r="E15" t="s">
        <v>629</v>
      </c>
      <c r="F15" s="80">
        <f>ROUNDUP(F$1*(1+(F7/100)),0)</f>
        <v>10</v>
      </c>
      <c r="H15" s="40"/>
      <c r="J15" s="223"/>
      <c r="K15" s="224"/>
      <c r="L15" s="221"/>
      <c r="M15" s="221"/>
      <c r="N15" s="221"/>
      <c r="O15" s="221"/>
      <c r="P15" s="221"/>
      <c r="Q15" s="221"/>
      <c r="R15" s="221"/>
      <c r="S15" s="221"/>
      <c r="T15" s="9"/>
      <c r="U15" s="9"/>
    </row>
    <row r="16" spans="1:42">
      <c r="A16" t="s">
        <v>623</v>
      </c>
      <c r="B16" s="80">
        <f>ROUNDUP(B$1*(1+(B8/100)),0)</f>
        <v>4</v>
      </c>
      <c r="C16" t="s">
        <v>628</v>
      </c>
      <c r="D16" s="80">
        <f>ROUNDUP(D$1*(1+(D8/100)),0)</f>
        <v>18</v>
      </c>
      <c r="E16" t="s">
        <v>626</v>
      </c>
      <c r="F16" s="80">
        <f>ROUNDUP(F$1*(1+(F8/100)),0)</f>
        <v>10</v>
      </c>
      <c r="H16" s="40"/>
      <c r="J16" s="223"/>
      <c r="K16" s="224"/>
      <c r="L16" s="221"/>
      <c r="M16" s="221"/>
      <c r="N16" s="221"/>
      <c r="O16" s="221"/>
      <c r="P16" s="221"/>
      <c r="Q16" s="221"/>
      <c r="R16" s="221"/>
      <c r="S16" s="221"/>
      <c r="T16" s="9"/>
      <c r="U16" s="9"/>
    </row>
    <row r="17" spans="1:24">
      <c r="A17" s="39" t="s">
        <v>947</v>
      </c>
      <c r="J17" s="225"/>
      <c r="K17" s="222"/>
      <c r="L17" s="222"/>
      <c r="M17" s="226"/>
      <c r="N17" s="222"/>
      <c r="O17" s="222"/>
      <c r="P17" s="222"/>
      <c r="Q17" s="222"/>
      <c r="R17" s="222"/>
      <c r="S17" s="222"/>
      <c r="T17" s="159"/>
      <c r="U17" s="159"/>
      <c r="V17" s="169"/>
      <c r="W17" s="169"/>
    </row>
    <row r="18" spans="1:24">
      <c r="A18" t="s">
        <v>621</v>
      </c>
      <c r="B18" s="80">
        <f>ROUNDUP(B$1*(1+(B10/100)),0)</f>
        <v>4</v>
      </c>
      <c r="C18" t="s">
        <v>624</v>
      </c>
      <c r="D18" s="80">
        <f>ROUNDUP(D$1*(1+(D10/100)),0)</f>
        <v>13</v>
      </c>
      <c r="E18" t="s">
        <v>627</v>
      </c>
      <c r="F18" s="80">
        <f>ROUNDUP(F$1*(1+(F10/100)),0)</f>
        <v>10</v>
      </c>
      <c r="H18" s="9"/>
      <c r="I18" s="9"/>
      <c r="J18" s="206"/>
      <c r="K18" s="206"/>
      <c r="L18" s="206"/>
      <c r="M18" s="206"/>
      <c r="N18" s="206"/>
      <c r="O18" s="206"/>
      <c r="P18" s="206"/>
      <c r="Q18" s="206"/>
      <c r="R18" s="206"/>
      <c r="S18" s="206"/>
      <c r="T18" s="159"/>
      <c r="U18" s="159"/>
      <c r="V18" s="169"/>
      <c r="W18" s="169"/>
      <c r="X18" s="51"/>
    </row>
    <row r="19" spans="1:24">
      <c r="A19" t="s">
        <v>622</v>
      </c>
      <c r="B19" s="80">
        <f>ROUNDUP(B$1*(1+(B11/100)),0)</f>
        <v>4</v>
      </c>
      <c r="C19" t="s">
        <v>625</v>
      </c>
      <c r="D19" s="80">
        <f>ROUNDUP(D$1*(1+(D11/100)),0)</f>
        <v>13</v>
      </c>
      <c r="E19" t="s">
        <v>629</v>
      </c>
      <c r="F19" s="80">
        <f>ROUNDUP(F$1*(1+(F11/100)),0)</f>
        <v>10</v>
      </c>
      <c r="G19" s="55"/>
      <c r="H19" s="9"/>
      <c r="I19" s="9"/>
      <c r="J19" s="206"/>
      <c r="K19" s="206"/>
      <c r="L19" s="206"/>
      <c r="M19" s="206"/>
      <c r="N19" s="206"/>
      <c r="O19" s="206"/>
      <c r="P19" s="206"/>
      <c r="Q19" s="206"/>
      <c r="R19" s="206"/>
      <c r="S19" s="206"/>
      <c r="T19" s="159"/>
      <c r="U19" s="159"/>
      <c r="V19" s="169"/>
      <c r="W19" s="169"/>
      <c r="X19" s="51"/>
    </row>
    <row r="20" spans="1:24">
      <c r="A20" t="s">
        <v>623</v>
      </c>
      <c r="B20" s="80">
        <f>ROUNDUP(B$1*(1+(B12/100)),0)</f>
        <v>4</v>
      </c>
      <c r="C20" t="s">
        <v>628</v>
      </c>
      <c r="D20" s="80">
        <f>ROUNDUP(D$1*(1+(D12/100)),0)</f>
        <v>16</v>
      </c>
      <c r="E20" t="s">
        <v>626</v>
      </c>
      <c r="F20" s="80">
        <f>ROUNDUP(F$1*(1+(F12/100)),0)</f>
        <v>10</v>
      </c>
      <c r="G20" s="48"/>
      <c r="H20" s="9"/>
      <c r="I20" s="9"/>
      <c r="J20" s="206"/>
      <c r="K20" s="206"/>
      <c r="L20" s="206"/>
      <c r="M20" s="206"/>
      <c r="N20" s="206"/>
      <c r="O20" s="206"/>
      <c r="P20" s="206"/>
      <c r="Q20" s="206"/>
      <c r="R20" s="206"/>
      <c r="S20" s="206"/>
      <c r="T20" s="159"/>
      <c r="U20" s="159"/>
      <c r="V20" s="169"/>
      <c r="W20" s="169"/>
      <c r="X20" s="51"/>
    </row>
    <row r="21" spans="1:24">
      <c r="A21" s="39" t="s">
        <v>831</v>
      </c>
      <c r="G21" s="48"/>
      <c r="H21" s="9"/>
      <c r="I21" s="9"/>
      <c r="J21" s="206"/>
      <c r="K21" s="206"/>
      <c r="L21" s="206"/>
      <c r="M21" s="206"/>
      <c r="N21" s="206"/>
      <c r="O21" s="206"/>
      <c r="P21" s="206"/>
      <c r="Q21" s="206"/>
      <c r="R21" s="206"/>
      <c r="S21" s="206"/>
      <c r="T21" s="159"/>
      <c r="U21" s="159"/>
      <c r="V21" s="169"/>
      <c r="W21" s="169"/>
      <c r="X21" s="51"/>
    </row>
    <row r="22" spans="1:24">
      <c r="A22" t="s">
        <v>621</v>
      </c>
      <c r="B22" s="80">
        <f>LARGE(K2:K37,1)</f>
        <v>25</v>
      </c>
      <c r="C22" t="s">
        <v>624</v>
      </c>
      <c r="D22" s="80">
        <f>LARGE(N2:N37,1)</f>
        <v>25</v>
      </c>
      <c r="E22" t="s">
        <v>627</v>
      </c>
      <c r="F22" s="80">
        <f>LARGE(Q2:Q37,1)</f>
        <v>16</v>
      </c>
      <c r="H22" s="9"/>
      <c r="I22" s="9"/>
      <c r="J22" s="206"/>
      <c r="K22" s="206"/>
      <c r="L22" s="206"/>
      <c r="M22" s="206"/>
      <c r="N22" s="206"/>
      <c r="O22" s="206"/>
      <c r="P22" s="206"/>
      <c r="Q22" s="206"/>
      <c r="R22" s="206"/>
      <c r="S22" s="206"/>
      <c r="T22" s="159"/>
      <c r="U22" s="159"/>
      <c r="V22" s="169"/>
      <c r="W22" s="169"/>
      <c r="X22" s="51"/>
    </row>
    <row r="23" spans="1:24">
      <c r="A23" t="s">
        <v>622</v>
      </c>
      <c r="B23" s="80">
        <f>LARGE(L2:L37,1)</f>
        <v>26</v>
      </c>
      <c r="C23" t="s">
        <v>625</v>
      </c>
      <c r="D23" s="80">
        <f>LARGE(O2:O37,1)</f>
        <v>25</v>
      </c>
      <c r="E23" t="s">
        <v>629</v>
      </c>
      <c r="F23" s="80">
        <f>LARGE(R2:R37,1)</f>
        <v>16</v>
      </c>
      <c r="H23" s="9"/>
      <c r="I23" s="9"/>
      <c r="J23" s="206"/>
      <c r="K23" s="206"/>
      <c r="L23" s="206"/>
      <c r="M23" s="206"/>
      <c r="N23" s="206"/>
      <c r="O23" s="206"/>
      <c r="P23" s="206"/>
      <c r="Q23" s="206"/>
      <c r="R23" s="206"/>
      <c r="S23" s="206"/>
      <c r="T23" s="159"/>
      <c r="U23" s="159"/>
      <c r="V23" s="169"/>
      <c r="W23" s="169"/>
      <c r="X23" s="51"/>
    </row>
    <row r="24" spans="1:24">
      <c r="A24" t="s">
        <v>623</v>
      </c>
      <c r="B24" s="80">
        <f>LARGE(M2:M37,1)</f>
        <v>25</v>
      </c>
      <c r="C24" t="s">
        <v>628</v>
      </c>
      <c r="D24" s="80">
        <f>LARGE(P2:P37,1)</f>
        <v>35</v>
      </c>
      <c r="E24" t="s">
        <v>626</v>
      </c>
      <c r="F24" s="80">
        <f>LARGE(S2:S37,1)</f>
        <v>15</v>
      </c>
      <c r="I24" s="9"/>
      <c r="J24" s="206"/>
      <c r="K24" s="206"/>
      <c r="L24" s="206"/>
      <c r="M24" s="206"/>
      <c r="N24" s="206"/>
      <c r="O24" s="206"/>
      <c r="P24" s="206"/>
      <c r="Q24" s="206"/>
      <c r="R24" s="206"/>
      <c r="S24" s="206"/>
      <c r="T24" s="159"/>
      <c r="U24" s="159"/>
      <c r="V24" s="169"/>
      <c r="W24" s="169"/>
      <c r="X24" s="51"/>
    </row>
    <row r="25" spans="1:24">
      <c r="I25" s="9"/>
      <c r="J25" s="223"/>
      <c r="K25" s="222"/>
      <c r="L25" s="222"/>
      <c r="M25" s="222"/>
      <c r="N25" s="222"/>
      <c r="O25" s="222"/>
      <c r="P25" s="227"/>
      <c r="Q25" s="222"/>
      <c r="R25" s="222"/>
      <c r="S25" s="222"/>
      <c r="T25" s="159"/>
      <c r="U25" s="159"/>
      <c r="V25" s="169"/>
      <c r="W25" s="169"/>
      <c r="X25" s="51"/>
    </row>
    <row r="26" spans="1:24">
      <c r="A26" t="s">
        <v>1180</v>
      </c>
      <c r="F26" s="170" t="s">
        <v>1194</v>
      </c>
      <c r="I26" s="9"/>
      <c r="J26" s="223"/>
      <c r="K26" s="222"/>
      <c r="L26" s="222"/>
      <c r="M26" s="222"/>
      <c r="N26" s="222"/>
      <c r="O26" s="222"/>
      <c r="P26" s="227"/>
      <c r="Q26" s="222"/>
      <c r="R26" s="222"/>
      <c r="S26" s="222"/>
      <c r="T26" s="159"/>
      <c r="U26" s="159"/>
      <c r="V26" s="169"/>
      <c r="W26" s="169"/>
      <c r="X26" s="51"/>
    </row>
    <row r="27" spans="1:24">
      <c r="B27" s="68" t="str">
        <f>Misc!G16</f>
        <v>Weapon</v>
      </c>
      <c r="C27" s="68" t="str">
        <f>Misc!H16</f>
        <v>Armour</v>
      </c>
      <c r="D27" s="68" t="str">
        <f>Misc!I16</f>
        <v>Unit</v>
      </c>
      <c r="J27" s="223"/>
      <c r="K27" s="222"/>
      <c r="L27" s="222"/>
      <c r="M27" s="222"/>
      <c r="N27" s="222"/>
      <c r="O27" s="222"/>
      <c r="P27" s="227"/>
      <c r="Q27" s="222"/>
      <c r="R27" s="222"/>
      <c r="S27" s="222"/>
      <c r="T27" s="159"/>
      <c r="U27" s="159"/>
      <c r="V27" s="169"/>
      <c r="W27" s="169"/>
      <c r="X27" s="51"/>
    </row>
    <row r="28" spans="1:24">
      <c r="A28" s="39" t="str">
        <f>Misc!F17</f>
        <v>Battle</v>
      </c>
      <c r="B28" s="108">
        <f>Misc!G17</f>
        <v>0.03</v>
      </c>
      <c r="C28" s="108">
        <f>Misc!H17</f>
        <v>0</v>
      </c>
      <c r="D28" s="108">
        <f>Misc!I17</f>
        <v>0</v>
      </c>
      <c r="F28" s="48" t="s">
        <v>561</v>
      </c>
      <c r="G28">
        <f>COUNT(K2:K3)</f>
        <v>2</v>
      </c>
      <c r="J28" s="223"/>
      <c r="K28" s="222"/>
      <c r="L28" s="222"/>
      <c r="M28" s="222"/>
      <c r="N28" s="222"/>
      <c r="O28" s="222"/>
      <c r="P28" s="227"/>
      <c r="Q28" s="222"/>
      <c r="R28" s="222"/>
      <c r="S28" s="222"/>
      <c r="T28" s="159"/>
      <c r="U28" s="159"/>
      <c r="V28" s="169"/>
      <c r="W28" s="169"/>
      <c r="X28" s="51"/>
    </row>
    <row r="29" spans="1:24">
      <c r="A29" s="39" t="str">
        <f>Misc!F18</f>
        <v>Trade</v>
      </c>
      <c r="B29" s="108">
        <f>Misc!G18</f>
        <v>0</v>
      </c>
      <c r="C29" s="108">
        <f>Misc!H18</f>
        <v>0</v>
      </c>
      <c r="D29" s="108">
        <f>Misc!I18</f>
        <v>0</v>
      </c>
      <c r="F29" s="48" t="s">
        <v>562</v>
      </c>
      <c r="G29">
        <f>COUNT(K4:K5)</f>
        <v>2</v>
      </c>
      <c r="J29" s="206"/>
      <c r="K29" s="206"/>
      <c r="L29" s="206"/>
      <c r="M29" s="206"/>
      <c r="N29" s="206"/>
      <c r="O29" s="206"/>
      <c r="P29" s="206"/>
      <c r="Q29" s="206"/>
      <c r="R29" s="206"/>
      <c r="S29" s="206"/>
      <c r="T29" s="9"/>
      <c r="U29" s="9"/>
    </row>
    <row r="30" spans="1:24">
      <c r="A30" s="39" t="str">
        <f>Misc!F19</f>
        <v>Spy</v>
      </c>
      <c r="B30" s="108">
        <f>Misc!G19</f>
        <v>0</v>
      </c>
      <c r="C30" s="108">
        <f>Misc!H19</f>
        <v>0</v>
      </c>
      <c r="D30" s="108">
        <f>Misc!I19</f>
        <v>0</v>
      </c>
      <c r="F30" s="54" t="s">
        <v>563</v>
      </c>
      <c r="G30" s="20">
        <f>COUNT(K6:K7)</f>
        <v>2</v>
      </c>
      <c r="J30" s="206"/>
      <c r="K30" s="206"/>
      <c r="L30" s="206"/>
      <c r="M30" s="206"/>
      <c r="N30" s="206"/>
      <c r="O30" s="206"/>
      <c r="P30" s="206"/>
      <c r="Q30" s="206"/>
      <c r="R30" s="206"/>
      <c r="S30" s="206"/>
      <c r="T30" s="9"/>
      <c r="U30" s="9"/>
    </row>
    <row r="31" spans="1:24">
      <c r="A31" s="39" t="str">
        <f>Misc!F20</f>
        <v>Sabotage</v>
      </c>
      <c r="B31" s="108">
        <f>Misc!G20</f>
        <v>0</v>
      </c>
      <c r="C31" s="108">
        <f>Misc!H20</f>
        <v>0</v>
      </c>
      <c r="D31" s="108">
        <f>Misc!I20</f>
        <v>0</v>
      </c>
      <c r="F31" s="48" t="s">
        <v>635</v>
      </c>
      <c r="G31">
        <f>SUM(G28:G30)</f>
        <v>6</v>
      </c>
      <c r="J31" s="206"/>
      <c r="K31" s="206"/>
      <c r="L31" s="206"/>
      <c r="M31" s="206"/>
      <c r="N31" s="206"/>
      <c r="O31" s="206"/>
      <c r="P31" s="206"/>
      <c r="Q31" s="206"/>
      <c r="R31" s="206"/>
      <c r="S31" s="206"/>
      <c r="T31" s="9"/>
      <c r="U31" s="9"/>
    </row>
    <row r="32" spans="1:24">
      <c r="A32" s="39" t="str">
        <f>Misc!F21</f>
        <v>Steal</v>
      </c>
      <c r="B32" s="108">
        <f>Misc!G21</f>
        <v>0</v>
      </c>
      <c r="C32" s="108">
        <f>Misc!H21</f>
        <v>0</v>
      </c>
      <c r="D32" s="108">
        <f>Misc!I21</f>
        <v>0</v>
      </c>
      <c r="J32" s="225"/>
      <c r="K32" s="222"/>
      <c r="L32" s="222"/>
      <c r="M32" s="222"/>
      <c r="N32" s="222"/>
      <c r="O32" s="222"/>
      <c r="P32" s="222"/>
      <c r="Q32" s="227"/>
      <c r="R32" s="222"/>
      <c r="S32" s="222"/>
      <c r="T32" s="159"/>
      <c r="U32" s="159"/>
      <c r="V32" s="169"/>
      <c r="W32" s="169"/>
      <c r="X32" s="51"/>
    </row>
    <row r="33" spans="1:25">
      <c r="A33" s="39" t="s">
        <v>1024</v>
      </c>
      <c r="B33" s="108">
        <f>Misc!G22</f>
        <v>0</v>
      </c>
      <c r="C33" s="108">
        <f>Misc!H22</f>
        <v>0</v>
      </c>
      <c r="D33" s="108">
        <f>Misc!I22</f>
        <v>0</v>
      </c>
      <c r="F33" s="48" t="s">
        <v>1059</v>
      </c>
      <c r="G33" s="230">
        <v>6</v>
      </c>
      <c r="J33" s="225"/>
      <c r="K33" s="222"/>
      <c r="L33" s="222"/>
      <c r="M33" s="222"/>
      <c r="N33" s="222"/>
      <c r="O33" s="222"/>
      <c r="P33" s="222"/>
      <c r="Q33" s="222"/>
      <c r="R33" s="222"/>
      <c r="S33" s="227"/>
      <c r="T33" s="159"/>
      <c r="U33" s="159"/>
      <c r="V33" s="169"/>
      <c r="W33" s="169"/>
      <c r="X33" s="51"/>
    </row>
    <row r="34" spans="1:25">
      <c r="J34" s="223"/>
      <c r="K34" s="222"/>
      <c r="L34" s="222"/>
      <c r="M34" s="222"/>
      <c r="N34" s="222"/>
      <c r="O34" s="222"/>
      <c r="P34" s="222"/>
      <c r="Q34" s="222"/>
      <c r="R34" s="222"/>
      <c r="S34" s="227"/>
      <c r="T34" s="159"/>
      <c r="U34" s="159"/>
      <c r="V34" s="169"/>
      <c r="W34" s="169"/>
      <c r="X34" s="51"/>
    </row>
    <row r="35" spans="1:25">
      <c r="J35" s="223"/>
      <c r="K35" s="222"/>
      <c r="L35" s="222"/>
      <c r="M35" s="222"/>
      <c r="N35" s="222"/>
      <c r="O35" s="222"/>
      <c r="P35" s="222"/>
      <c r="Q35" s="222"/>
      <c r="R35" s="222"/>
      <c r="S35" s="227"/>
      <c r="T35" s="159"/>
      <c r="U35" s="159"/>
      <c r="V35" s="169"/>
      <c r="W35" s="169"/>
      <c r="X35" s="51"/>
    </row>
    <row r="36" spans="1:25">
      <c r="J36" s="223"/>
      <c r="K36" s="222"/>
      <c r="L36" s="222"/>
      <c r="M36" s="222"/>
      <c r="N36" s="222"/>
      <c r="O36" s="222"/>
      <c r="P36" s="222"/>
      <c r="Q36" s="222"/>
      <c r="R36" s="227"/>
      <c r="S36" s="222"/>
      <c r="T36" s="159"/>
      <c r="U36" s="159"/>
      <c r="V36" s="169"/>
      <c r="W36" s="169"/>
      <c r="X36" s="51"/>
    </row>
    <row r="37" spans="1:25">
      <c r="J37" s="225"/>
      <c r="K37" s="221"/>
      <c r="L37" s="221"/>
      <c r="M37" s="221"/>
      <c r="N37" s="221"/>
      <c r="O37" s="221"/>
      <c r="P37" s="221"/>
      <c r="Q37" s="221"/>
      <c r="R37" s="208"/>
      <c r="S37" s="221"/>
      <c r="T37" s="9"/>
      <c r="U37" s="9"/>
      <c r="X37" s="51"/>
    </row>
    <row r="38" spans="1:25">
      <c r="J38" s="206"/>
      <c r="K38" s="206"/>
      <c r="L38" s="206"/>
      <c r="M38" s="206"/>
      <c r="N38" s="206"/>
      <c r="O38" s="206"/>
      <c r="P38" s="206"/>
      <c r="Q38" s="206"/>
      <c r="R38" s="206"/>
      <c r="S38" s="206"/>
      <c r="T38" s="9"/>
      <c r="U38" s="9"/>
      <c r="Y38" s="9"/>
    </row>
    <row r="39" spans="1:25">
      <c r="J39" s="206"/>
      <c r="K39" s="206"/>
      <c r="L39" s="206"/>
      <c r="M39" s="206"/>
      <c r="N39" s="206"/>
      <c r="O39" s="206"/>
      <c r="P39" s="206"/>
      <c r="Q39" s="206"/>
      <c r="R39" s="206"/>
      <c r="S39" s="206"/>
      <c r="T39" s="9"/>
      <c r="U39" s="9"/>
      <c r="Y39" s="9"/>
    </row>
    <row r="40" spans="1:25">
      <c r="J40" s="206"/>
      <c r="K40" s="206"/>
      <c r="L40" s="206"/>
      <c r="M40" s="206"/>
      <c r="N40" s="206"/>
      <c r="O40" s="206"/>
      <c r="P40" s="206"/>
      <c r="Q40" s="206"/>
      <c r="R40" s="206"/>
      <c r="S40" s="206"/>
      <c r="T40" s="9"/>
      <c r="U40" s="9"/>
    </row>
    <row r="41" spans="1:25">
      <c r="A41" t="s">
        <v>634</v>
      </c>
      <c r="J41" s="206"/>
      <c r="K41" s="206"/>
      <c r="L41" s="206"/>
      <c r="M41" s="206"/>
      <c r="N41" s="206"/>
      <c r="O41" s="206"/>
      <c r="P41" s="206"/>
      <c r="Q41" s="206"/>
      <c r="R41" s="206"/>
      <c r="S41" s="206"/>
      <c r="T41" s="9"/>
      <c r="U41" s="9"/>
    </row>
    <row r="42" spans="1:25">
      <c r="A42" s="97">
        <v>1.1000000000000001</v>
      </c>
      <c r="B42" s="55" t="s">
        <v>863</v>
      </c>
      <c r="E42" t="s">
        <v>864</v>
      </c>
      <c r="H42" t="s">
        <v>1008</v>
      </c>
    </row>
    <row r="43" spans="1:25">
      <c r="A43" s="97" t="s">
        <v>865</v>
      </c>
      <c r="B43" s="55" t="s">
        <v>1033</v>
      </c>
      <c r="E43" t="s">
        <v>835</v>
      </c>
      <c r="H43" t="s">
        <v>1008</v>
      </c>
    </row>
    <row r="44" spans="1:25">
      <c r="A44" s="97" t="s">
        <v>866</v>
      </c>
      <c r="B44" s="55" t="s">
        <v>867</v>
      </c>
      <c r="E44" t="s">
        <v>836</v>
      </c>
    </row>
    <row r="45" spans="1:25">
      <c r="A45" s="97" t="s">
        <v>1036</v>
      </c>
      <c r="B45" s="55" t="s">
        <v>1037</v>
      </c>
      <c r="E45" t="s">
        <v>1038</v>
      </c>
    </row>
    <row r="46" spans="1:25">
      <c r="A46" s="97" t="s">
        <v>868</v>
      </c>
      <c r="B46" s="55" t="s">
        <v>869</v>
      </c>
      <c r="E46" t="s">
        <v>870</v>
      </c>
    </row>
    <row r="47" spans="1:25">
      <c r="A47" s="97" t="s">
        <v>868</v>
      </c>
      <c r="B47" s="55" t="s">
        <v>1039</v>
      </c>
      <c r="E47" t="s">
        <v>870</v>
      </c>
    </row>
    <row r="48" spans="1:25">
      <c r="A48" s="97" t="s">
        <v>1040</v>
      </c>
      <c r="B48" s="55" t="s">
        <v>1041</v>
      </c>
      <c r="E48" t="s">
        <v>314</v>
      </c>
    </row>
    <row r="49" spans="1:20">
      <c r="A49" s="97" t="s">
        <v>1042</v>
      </c>
      <c r="B49" s="55" t="s">
        <v>1043</v>
      </c>
      <c r="E49" t="s">
        <v>130</v>
      </c>
    </row>
    <row r="50" spans="1:20">
      <c r="A50" s="97" t="s">
        <v>1044</v>
      </c>
      <c r="B50" s="55" t="s">
        <v>1045</v>
      </c>
      <c r="E50" t="s">
        <v>813</v>
      </c>
      <c r="J50" s="225"/>
      <c r="K50" s="221"/>
      <c r="L50" s="221"/>
      <c r="M50" s="221"/>
      <c r="N50" s="221"/>
      <c r="O50" s="221"/>
      <c r="P50" s="224"/>
      <c r="Q50" s="221"/>
      <c r="R50" s="221"/>
      <c r="S50" s="221"/>
      <c r="T50" s="9"/>
    </row>
    <row r="51" spans="1:20">
      <c r="A51" s="97" t="s">
        <v>871</v>
      </c>
      <c r="B51" s="55" t="s">
        <v>872</v>
      </c>
      <c r="E51" t="s">
        <v>836</v>
      </c>
      <c r="H51" t="s">
        <v>1008</v>
      </c>
      <c r="J51" s="225"/>
      <c r="K51" s="221"/>
      <c r="L51" s="221"/>
      <c r="M51" s="221"/>
      <c r="N51" s="224"/>
      <c r="O51" s="221"/>
      <c r="P51" s="221"/>
      <c r="Q51" s="221"/>
      <c r="R51" s="221"/>
      <c r="S51" s="221"/>
      <c r="T51" s="2"/>
    </row>
    <row r="52" spans="1:20">
      <c r="A52" s="97" t="s">
        <v>875</v>
      </c>
      <c r="B52" s="55" t="s">
        <v>873</v>
      </c>
      <c r="E52" t="s">
        <v>874</v>
      </c>
      <c r="J52" s="225"/>
      <c r="K52" s="221"/>
      <c r="L52" s="221"/>
      <c r="M52" s="221"/>
      <c r="N52" s="221"/>
      <c r="O52" s="224"/>
      <c r="P52" s="221"/>
      <c r="Q52" s="221"/>
      <c r="R52" s="221"/>
      <c r="S52" s="221"/>
      <c r="T52" s="9"/>
    </row>
    <row r="53" spans="1:20">
      <c r="A53" s="97" t="s">
        <v>876</v>
      </c>
      <c r="B53" s="55" t="s">
        <v>877</v>
      </c>
      <c r="E53" t="s">
        <v>878</v>
      </c>
      <c r="J53" s="225"/>
      <c r="K53" s="221"/>
      <c r="L53" s="221"/>
      <c r="M53" s="221"/>
      <c r="N53" s="221"/>
      <c r="O53" s="221"/>
      <c r="P53" s="224"/>
      <c r="Q53" s="221"/>
      <c r="R53" s="221"/>
      <c r="S53" s="221"/>
      <c r="T53" s="9"/>
    </row>
    <row r="54" spans="1:20">
      <c r="A54" s="97" t="s">
        <v>879</v>
      </c>
      <c r="B54" s="55" t="s">
        <v>880</v>
      </c>
      <c r="E54" t="s">
        <v>836</v>
      </c>
      <c r="H54" t="s">
        <v>1008</v>
      </c>
      <c r="J54" s="225"/>
      <c r="K54" s="221"/>
      <c r="L54" s="221"/>
      <c r="M54" s="221"/>
      <c r="N54" s="221"/>
      <c r="O54" s="224"/>
      <c r="P54" s="221"/>
      <c r="Q54" s="221"/>
      <c r="R54" s="221"/>
      <c r="S54" s="221"/>
      <c r="T54" s="2"/>
    </row>
    <row r="55" spans="1:20">
      <c r="A55" s="97" t="s">
        <v>1046</v>
      </c>
      <c r="B55" s="55" t="s">
        <v>1047</v>
      </c>
      <c r="E55" t="s">
        <v>527</v>
      </c>
      <c r="H55" t="s">
        <v>1008</v>
      </c>
      <c r="J55" s="225"/>
      <c r="K55" s="221"/>
      <c r="L55" s="221"/>
      <c r="M55" s="221"/>
      <c r="N55" s="221"/>
      <c r="O55" s="221"/>
      <c r="P55" s="224"/>
      <c r="Q55" s="221"/>
      <c r="R55" s="221"/>
      <c r="S55" s="221"/>
      <c r="T55" s="9"/>
    </row>
    <row r="56" spans="1:20">
      <c r="A56" s="97" t="s">
        <v>1048</v>
      </c>
      <c r="B56" s="55" t="s">
        <v>1049</v>
      </c>
      <c r="E56" t="s">
        <v>535</v>
      </c>
      <c r="J56" s="225"/>
      <c r="K56" s="221"/>
      <c r="L56" s="221"/>
      <c r="M56" s="221"/>
      <c r="N56" s="221"/>
      <c r="O56" s="221"/>
      <c r="P56" s="224"/>
      <c r="Q56" s="221"/>
      <c r="R56" s="221"/>
      <c r="S56" s="221"/>
      <c r="T56" s="9"/>
    </row>
    <row r="57" spans="1:20">
      <c r="A57" s="40">
        <v>3.3</v>
      </c>
      <c r="B57" s="55" t="s">
        <v>881</v>
      </c>
      <c r="E57" t="s">
        <v>864</v>
      </c>
      <c r="J57" s="225"/>
      <c r="K57" s="221"/>
      <c r="L57" s="221"/>
      <c r="M57" s="221"/>
      <c r="N57" s="221"/>
      <c r="O57" s="221"/>
      <c r="P57" s="224"/>
      <c r="Q57" s="221"/>
      <c r="R57" s="221"/>
      <c r="S57" s="221"/>
      <c r="T57" s="9"/>
    </row>
  </sheetData>
  <sheetProtection formatCells="0" formatColumns="0" formatRows="0" insertColumns="0" insertRows="0" insertHyperlinks="0" deleteColumns="0" deleteRows="0" sort="0" autoFilter="0" pivotTables="0"/>
  <sortState ref="J18:X28">
    <sortCondition descending="1" ref="X18:X28"/>
  </sortState>
  <conditionalFormatting sqref="J54:J57">
    <cfRule type="colorScale" priority="463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K37:S37">
    <cfRule type="colorScale" priority="464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K50:S57">
    <cfRule type="colorScale" priority="467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J36:J37">
    <cfRule type="colorScale" priority="596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K2:S2">
    <cfRule type="top10" dxfId="8" priority="17" rank="1"/>
  </conditionalFormatting>
  <conditionalFormatting sqref="K3:S3">
    <cfRule type="top10" dxfId="7" priority="15" rank="1"/>
  </conditionalFormatting>
  <conditionalFormatting sqref="K4:S4">
    <cfRule type="top10" dxfId="6" priority="14" rank="1"/>
  </conditionalFormatting>
  <conditionalFormatting sqref="K5:S5">
    <cfRule type="top10" dxfId="5" priority="13" rank="1"/>
  </conditionalFormatting>
  <conditionalFormatting sqref="J14:J17">
    <cfRule type="colorScale" priority="618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J25:J28 J32:J37">
    <cfRule type="colorScale" priority="648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K32:S37 K25:S28 K4:S5">
    <cfRule type="colorScale" priority="670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K6:S6">
    <cfRule type="top10" dxfId="4" priority="3" rank="1"/>
  </conditionalFormatting>
  <conditionalFormatting sqref="K7:S7">
    <cfRule type="top10" dxfId="3" priority="1" rank="1"/>
  </conditionalFormatting>
  <conditionalFormatting sqref="K14:S17 K2:S3">
    <cfRule type="colorScale" priority="678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K6:S7">
    <cfRule type="colorScale" priority="693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legacyDrawing r:id="rId2"/>
  <controls>
    <control shapeId="1029" r:id="rId3" name="cmdSwap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7"/>
  <dimension ref="A1:R140"/>
  <sheetViews>
    <sheetView zoomScale="120" zoomScaleNormal="120" workbookViewId="0">
      <pane ySplit="1" topLeftCell="A2" activePane="bottomLeft" state="frozen"/>
      <selection pane="bottomLeft" activeCell="D73" sqref="D73"/>
    </sheetView>
  </sheetViews>
  <sheetFormatPr defaultColWidth="9.140625" defaultRowHeight="15"/>
  <cols>
    <col min="1" max="1" width="21.28515625" style="247" customWidth="1"/>
    <col min="2" max="2" width="35.28515625" style="252" customWidth="1"/>
    <col min="3" max="3" width="10.5703125" style="252" customWidth="1"/>
    <col min="4" max="5" width="9.140625" style="252" customWidth="1"/>
    <col min="6" max="6" width="9.5703125" style="252" customWidth="1"/>
    <col min="7" max="8" width="11.140625" style="252" customWidth="1"/>
    <col min="9" max="9" width="9.140625" style="252" customWidth="1"/>
    <col min="10" max="10" width="12.28515625" style="252" customWidth="1"/>
    <col min="11" max="11" width="9.140625" style="252" customWidth="1"/>
    <col min="12" max="12" width="8.28515625" style="252" customWidth="1"/>
    <col min="13" max="13" width="17.140625" style="252" customWidth="1"/>
    <col min="14" max="14" width="12.42578125" style="252" customWidth="1"/>
    <col min="15" max="15" width="12.140625" style="252" customWidth="1"/>
    <col min="16" max="16" width="11.85546875" style="252" customWidth="1"/>
    <col min="17" max="18" width="9.140625" style="252" customWidth="1"/>
    <col min="19" max="19" width="11.140625" style="252" customWidth="1"/>
    <col min="20" max="20" width="9.140625" style="252" customWidth="1"/>
    <col min="21" max="21" width="12.28515625" style="252" customWidth="1"/>
    <col min="22" max="16384" width="9.140625" style="252"/>
  </cols>
  <sheetData>
    <row r="1" spans="1:18">
      <c r="B1" s="248" t="s">
        <v>1</v>
      </c>
      <c r="C1" s="249" t="s">
        <v>561</v>
      </c>
      <c r="D1" s="249" t="s">
        <v>562</v>
      </c>
      <c r="E1" s="249" t="s">
        <v>563</v>
      </c>
      <c r="F1" s="249" t="s">
        <v>822</v>
      </c>
      <c r="G1" s="250" t="s">
        <v>823</v>
      </c>
      <c r="H1" s="250" t="s">
        <v>564</v>
      </c>
      <c r="I1" s="249" t="s">
        <v>822</v>
      </c>
      <c r="J1" s="250" t="s">
        <v>823</v>
      </c>
      <c r="K1" s="251" t="s">
        <v>564</v>
      </c>
      <c r="L1" s="249" t="s">
        <v>822</v>
      </c>
      <c r="M1" s="250" t="s">
        <v>823</v>
      </c>
      <c r="N1" s="250" t="s">
        <v>564</v>
      </c>
      <c r="O1" s="249" t="s">
        <v>822</v>
      </c>
      <c r="P1" s="250" t="s">
        <v>823</v>
      </c>
      <c r="Q1" s="250" t="s">
        <v>564</v>
      </c>
      <c r="R1" s="250"/>
    </row>
    <row r="2" spans="1:18" ht="23.25" customHeight="1">
      <c r="A2" s="246" t="s">
        <v>1211</v>
      </c>
      <c r="B2" s="253" t="s">
        <v>1019</v>
      </c>
      <c r="C2" s="254"/>
      <c r="D2" s="255"/>
      <c r="E2" s="256"/>
      <c r="F2" s="257"/>
      <c r="G2" s="258"/>
      <c r="H2" s="258"/>
      <c r="I2" s="259"/>
      <c r="J2" s="258"/>
      <c r="K2" s="260"/>
      <c r="L2" s="259"/>
      <c r="M2" s="258"/>
      <c r="N2" s="258"/>
      <c r="O2" s="259"/>
      <c r="P2" s="258"/>
      <c r="Q2" s="260"/>
    </row>
    <row r="3" spans="1:18" hidden="1">
      <c r="A3" s="261" t="s">
        <v>1146</v>
      </c>
      <c r="B3" s="262"/>
      <c r="C3" s="249" t="str">
        <f>IF(B3&lt;&gt;"",VLOOKUP(B3,Items!$A$616:$X$640,15,FALSE),"")</f>
        <v/>
      </c>
      <c r="D3" s="249" t="str">
        <f>IF(B3&lt;&gt;"",VLOOKUP(B3,Items!$A$616:$X$640,16,FALSE),"")</f>
        <v/>
      </c>
      <c r="E3" s="263" t="str">
        <f>IF(B3&lt;&gt;"",VLOOKUP(B3,Items!$A$616:$X$640,17,FALSE),"")</f>
        <v/>
      </c>
      <c r="F3" s="264" t="str">
        <f>IF(B3&lt;&gt;"",IF(VLOOKUP(B3,Items!$A$616:$X$640,19,FALSE)&lt;&gt;0,VLOOKUP(B3,Items!$A$616:$X$640,19,FALSE),""),"")</f>
        <v/>
      </c>
      <c r="G3" s="265" t="str">
        <f>IF(B3&lt;&gt;"",IF(VLOOKUP(B3,Items!$A$616:$X$640,20,FALSE)&lt;&gt;0,VLOOKUP(B3,Items!$A$616:$X$640,20,FALSE),""),"")</f>
        <v/>
      </c>
      <c r="H3" s="248" t="str">
        <f>IF(B3&lt;&gt;"",IF(VLOOKUP(B3,Items!$A$616:$X$640,21,FALSE)&lt;&gt;0,VLOOKUP(B3,Items!$A$616:$X$640,21,FALSE),""),"")</f>
        <v/>
      </c>
      <c r="I3" s="266" t="str">
        <f>IF(B3&lt;&gt;"",IF(VLOOKUP(B3,Items!$A$616:$X$640,22,FALSE)&lt;&gt;0,VLOOKUP(B3,Items!$A$616:$X$640,22,FALSE),""),"")</f>
        <v/>
      </c>
      <c r="J3" s="248" t="str">
        <f>IF(B3&lt;&gt;"",IF(VLOOKUP(B3,Items!$A$616:$X$640,23,FALSE)&lt;&gt;0,VLOOKUP(B3,Items!$A$616:$X$640,23,FALSE),""),"")</f>
        <v/>
      </c>
      <c r="K3" s="267" t="str">
        <f>IF(B3&lt;&gt;"",IF(VLOOKUP(B3,Items!$A$616:$X$640,24,FALSE)&lt;&gt;0,VLOOKUP(B3,Items!$A$616:$X$640,24,FALSE),""),"")</f>
        <v/>
      </c>
      <c r="L3" s="247"/>
      <c r="M3" s="248"/>
      <c r="N3" s="248"/>
      <c r="O3" s="247"/>
      <c r="P3" s="248"/>
      <c r="Q3" s="267"/>
    </row>
    <row r="4" spans="1:18" hidden="1">
      <c r="A4" s="261" t="s">
        <v>1147</v>
      </c>
      <c r="B4" s="262"/>
      <c r="C4" s="249" t="str">
        <f>IF(B4&lt;&gt;"",VLOOKUP(B4,Items!$A$616:$X$640,15,FALSE),"")</f>
        <v/>
      </c>
      <c r="D4" s="249" t="str">
        <f>IF(B4&lt;&gt;"",VLOOKUP(B4,Items!$A$616:$X$640,16,FALSE),"")</f>
        <v/>
      </c>
      <c r="E4" s="263" t="str">
        <f>IF(B4&lt;&gt;"",VLOOKUP(B4,Items!$A$616:$X$640,17,FALSE),"")</f>
        <v/>
      </c>
      <c r="F4" s="264" t="str">
        <f>IF(B4&lt;&gt;"",IF(VLOOKUP(B4,Items!$A$616:$X$640,19,FALSE)&lt;&gt;0,VLOOKUP(B4,Items!$A$616:$X$640,19,FALSE),""),"")</f>
        <v/>
      </c>
      <c r="G4" s="265" t="str">
        <f>IF(B4&lt;&gt;"",IF(VLOOKUP(B4,Items!$A$616:$X$640,20,FALSE)&lt;&gt;0,VLOOKUP(B4,Items!$A$616:$X$640,20,FALSE),""),"")</f>
        <v/>
      </c>
      <c r="H4" s="248" t="str">
        <f>IF(B4&lt;&gt;"",IF(VLOOKUP(B4,Items!$A$616:$X$640,21,FALSE)&lt;&gt;0,VLOOKUP(B4,Items!$A$616:$X$640,21,FALSE),""),"")</f>
        <v/>
      </c>
      <c r="I4" s="266" t="str">
        <f>IF(B4&lt;&gt;"",IF(VLOOKUP(B4,Items!$A$616:$X$640,22,FALSE)&lt;&gt;0,VLOOKUP(B4,Items!$A$616:$X$640,22,FALSE),""),"")</f>
        <v/>
      </c>
      <c r="J4" s="248" t="str">
        <f>IF(B4&lt;&gt;"",IF(VLOOKUP(B4,Items!$A$616:$X$640,23,FALSE)&lt;&gt;0,VLOOKUP(B4,Items!$A$616:$X$640,23,FALSE),""),"")</f>
        <v/>
      </c>
      <c r="K4" s="267" t="str">
        <f>IF(B4&lt;&gt;"",IF(VLOOKUP(B4,Items!$A$616:$X$640,24,FALSE)&lt;&gt;0,VLOOKUP(B4,Items!$A$616:$X$640,24,FALSE),""),"")</f>
        <v/>
      </c>
      <c r="L4" s="247"/>
      <c r="M4" s="248"/>
      <c r="N4" s="248"/>
      <c r="O4" s="247"/>
      <c r="P4" s="248"/>
      <c r="Q4" s="267"/>
    </row>
    <row r="5" spans="1:18" hidden="1">
      <c r="A5" s="261" t="s">
        <v>1148</v>
      </c>
      <c r="B5" s="262"/>
      <c r="C5" s="249" t="str">
        <f>IF(B5&lt;&gt;"",VLOOKUP(B5,Items!$A$616:$X$640,15,FALSE),"")</f>
        <v/>
      </c>
      <c r="D5" s="249" t="str">
        <f>IF(B5&lt;&gt;"",VLOOKUP(B5,Items!$A$616:$X$640,16,FALSE),"")</f>
        <v/>
      </c>
      <c r="E5" s="263" t="str">
        <f>IF(B5&lt;&gt;"",VLOOKUP(B5,Items!$A$616:$X$640,17,FALSE),"")</f>
        <v/>
      </c>
      <c r="F5" s="264" t="str">
        <f>IF(B5&lt;&gt;"",IF(VLOOKUP(B5,Items!$A$616:$X$640,19,FALSE)&lt;&gt;0,VLOOKUP(B5,Items!$A$616:$X$640,19,FALSE),""),"")</f>
        <v/>
      </c>
      <c r="G5" s="265" t="str">
        <f>IF(B5&lt;&gt;"",IF(VLOOKUP(B5,Items!$A$616:$X$640,20,FALSE)&lt;&gt;0,VLOOKUP(B5,Items!$A$616:$X$640,20,FALSE),""),"")</f>
        <v/>
      </c>
      <c r="H5" s="248" t="str">
        <f>IF(B5&lt;&gt;"",IF(VLOOKUP(B5,Items!$A$616:$X$640,21,FALSE)&lt;&gt;0,VLOOKUP(B5,Items!$A$616:$X$640,21,FALSE),""),"")</f>
        <v/>
      </c>
      <c r="I5" s="266" t="str">
        <f>IF(B5&lt;&gt;"",IF(VLOOKUP(B5,Items!$A$616:$X$640,22,FALSE)&lt;&gt;0,VLOOKUP(B5,Items!$A$616:$X$640,22,FALSE),""),"")</f>
        <v/>
      </c>
      <c r="J5" s="248" t="str">
        <f>IF(B5&lt;&gt;"",IF(VLOOKUP(B5,Items!$A$616:$X$640,23,FALSE)&lt;&gt;0,VLOOKUP(B5,Items!$A$616:$X$640,23,FALSE),""),"")</f>
        <v/>
      </c>
      <c r="K5" s="267" t="str">
        <f>IF(B5&lt;&gt;"",IF(VLOOKUP(B5,Items!$A$616:$X$640,24,FALSE)&lt;&gt;0,VLOOKUP(B5,Items!$A$616:$X$640,24,FALSE),""),"")</f>
        <v/>
      </c>
      <c r="L5" s="247"/>
      <c r="M5" s="248"/>
      <c r="N5" s="248"/>
      <c r="O5" s="247"/>
      <c r="P5" s="248"/>
      <c r="Q5" s="267"/>
    </row>
    <row r="6" spans="1:18" hidden="1">
      <c r="A6" s="261" t="s">
        <v>1149</v>
      </c>
      <c r="B6" s="262"/>
      <c r="C6" s="249" t="str">
        <f>IF(B6&lt;&gt;"",VLOOKUP(B6,Items!$A$616:$X$640,15,FALSE),"")</f>
        <v/>
      </c>
      <c r="D6" s="249" t="str">
        <f>IF(B6&lt;&gt;"",VLOOKUP(B6,Items!$A$616:$X$640,16,FALSE),"")</f>
        <v/>
      </c>
      <c r="E6" s="263" t="str">
        <f>IF(B6&lt;&gt;"",VLOOKUP(B6,Items!$A$616:$X$640,17,FALSE),"")</f>
        <v/>
      </c>
      <c r="F6" s="264" t="str">
        <f>IF(B6&lt;&gt;"",IF(VLOOKUP(B6,Items!$A$616:$X$640,19,FALSE)&lt;&gt;0,VLOOKUP(B6,Items!$A$616:$X$640,19,FALSE),""),"")</f>
        <v/>
      </c>
      <c r="G6" s="265" t="str">
        <f>IF(B6&lt;&gt;"",IF(VLOOKUP(B6,Items!$A$616:$X$640,20,FALSE)&lt;&gt;0,VLOOKUP(B6,Items!$A$616:$X$640,20,FALSE),""),"")</f>
        <v/>
      </c>
      <c r="H6" s="248" t="str">
        <f>IF(B6&lt;&gt;"",IF(VLOOKUP(B6,Items!$A$616:$X$640,21,FALSE)&lt;&gt;0,VLOOKUP(B6,Items!$A$616:$X$640,21,FALSE),""),"")</f>
        <v/>
      </c>
      <c r="I6" s="266" t="str">
        <f>IF(B6&lt;&gt;"",IF(VLOOKUP(B6,Items!$A$616:$X$640,22,FALSE)&lt;&gt;0,VLOOKUP(B6,Items!$A$616:$X$640,22,FALSE),""),"")</f>
        <v/>
      </c>
      <c r="J6" s="248" t="str">
        <f>IF(B6&lt;&gt;"",IF(VLOOKUP(B6,Items!$A$616:$X$640,23,FALSE)&lt;&gt;0,VLOOKUP(B6,Items!$A$616:$X$640,23,FALSE),""),"")</f>
        <v/>
      </c>
      <c r="K6" s="267" t="str">
        <f>IF(B6&lt;&gt;"",IF(VLOOKUP(B6,Items!$A$616:$X$640,24,FALSE)&lt;&gt;0,VLOOKUP(B6,Items!$A$616:$X$640,24,FALSE),""),"")</f>
        <v/>
      </c>
      <c r="L6" s="247"/>
      <c r="M6" s="248"/>
      <c r="N6" s="248"/>
      <c r="O6" s="247"/>
      <c r="P6" s="248"/>
      <c r="Q6" s="267"/>
    </row>
    <row r="7" spans="1:18" hidden="1">
      <c r="A7" s="261" t="s">
        <v>1150</v>
      </c>
      <c r="B7" s="262"/>
      <c r="C7" s="249" t="str">
        <f>IF(B7&lt;&gt;"",VLOOKUP(B7,Items!$A$616:$X$640,15,FALSE),"")</f>
        <v/>
      </c>
      <c r="D7" s="249" t="str">
        <f>IF(B7&lt;&gt;"",VLOOKUP(B7,Items!$A$616:$X$640,16,FALSE),"")</f>
        <v/>
      </c>
      <c r="E7" s="263" t="str">
        <f>IF(B7&lt;&gt;"",VLOOKUP(B7,Items!$A$616:$X$640,17,FALSE),"")</f>
        <v/>
      </c>
      <c r="F7" s="264" t="str">
        <f>IF(B7&lt;&gt;"",IF(VLOOKUP(B7,Items!$A$616:$X$640,19,FALSE)&lt;&gt;0,VLOOKUP(B7,Items!$A$616:$X$640,19,FALSE),""),"")</f>
        <v/>
      </c>
      <c r="G7" s="265" t="str">
        <f>IF(B7&lt;&gt;"",IF(VLOOKUP(B7,Items!$A$616:$X$640,20,FALSE)&lt;&gt;0,VLOOKUP(B7,Items!$A$616:$X$640,20,FALSE),""),"")</f>
        <v/>
      </c>
      <c r="H7" s="248" t="str">
        <f>IF(B7&lt;&gt;"",IF(VLOOKUP(B7,Items!$A$616:$X$640,21,FALSE)&lt;&gt;0,VLOOKUP(B7,Items!$A$616:$X$640,21,FALSE),""),"")</f>
        <v/>
      </c>
      <c r="I7" s="266" t="str">
        <f>IF(B7&lt;&gt;"",IF(VLOOKUP(B7,Items!$A$616:$X$640,22,FALSE)&lt;&gt;0,VLOOKUP(B7,Items!$A$616:$X$640,22,FALSE),""),"")</f>
        <v/>
      </c>
      <c r="J7" s="248" t="str">
        <f>IF(B7&lt;&gt;"",IF(VLOOKUP(B7,Items!$A$616:$X$640,23,FALSE)&lt;&gt;0,VLOOKUP(B7,Items!$A$616:$X$640,23,FALSE),""),"")</f>
        <v/>
      </c>
      <c r="K7" s="267" t="str">
        <f>IF(B7&lt;&gt;"",IF(VLOOKUP(B7,Items!$A$616:$X$640,24,FALSE)&lt;&gt;0,VLOOKUP(B7,Items!$A$616:$X$640,24,FALSE),""),"")</f>
        <v/>
      </c>
      <c r="L7" s="247"/>
      <c r="M7" s="248"/>
      <c r="N7" s="248"/>
      <c r="O7" s="247"/>
      <c r="P7" s="248"/>
      <c r="Q7" s="267"/>
    </row>
    <row r="8" spans="1:18" hidden="1">
      <c r="A8" s="261" t="s">
        <v>1151</v>
      </c>
      <c r="B8" s="262"/>
      <c r="C8" s="249" t="str">
        <f>IF(B8&lt;&gt;"",VLOOKUP(B8,Items!$A$616:$X$640,15,FALSE),"")</f>
        <v/>
      </c>
      <c r="D8" s="249" t="str">
        <f>IF(B8&lt;&gt;"",VLOOKUP(B8,Items!$A$616:$X$640,16,FALSE),"")</f>
        <v/>
      </c>
      <c r="E8" s="263" t="str">
        <f>IF(B8&lt;&gt;"",VLOOKUP(B8,Items!$A$616:$X$640,17,FALSE),"")</f>
        <v/>
      </c>
      <c r="F8" s="264" t="str">
        <f>IF(B8&lt;&gt;"",IF(VLOOKUP(B8,Items!$A$616:$X$640,19,FALSE)&lt;&gt;0,VLOOKUP(B8,Items!$A$616:$X$640,19,FALSE),""),"")</f>
        <v/>
      </c>
      <c r="G8" s="265" t="str">
        <f>IF(B8&lt;&gt;"",IF(VLOOKUP(B8,Items!$A$616:$X$640,20,FALSE)&lt;&gt;0,VLOOKUP(B8,Items!$A$616:$X$640,20,FALSE),""),"")</f>
        <v/>
      </c>
      <c r="H8" s="248" t="str">
        <f>IF(B8&lt;&gt;"",IF(VLOOKUP(B8,Items!$A$616:$X$640,21,FALSE)&lt;&gt;0,VLOOKUP(B8,Items!$A$616:$X$640,21,FALSE),""),"")</f>
        <v/>
      </c>
      <c r="I8" s="266" t="str">
        <f>IF(B8&lt;&gt;"",IF(VLOOKUP(B8,Items!$A$616:$X$640,22,FALSE)&lt;&gt;0,VLOOKUP(B8,Items!$A$616:$X$640,22,FALSE),""),"")</f>
        <v/>
      </c>
      <c r="J8" s="248" t="str">
        <f>IF(B8&lt;&gt;"",IF(VLOOKUP(B8,Items!$A$616:$X$640,23,FALSE)&lt;&gt;0,VLOOKUP(B8,Items!$A$616:$X$640,23,FALSE),""),"")</f>
        <v/>
      </c>
      <c r="K8" s="267" t="str">
        <f>IF(B8&lt;&gt;"",IF(VLOOKUP(B8,Items!$A$616:$X$640,24,FALSE)&lt;&gt;0,VLOOKUP(B8,Items!$A$616:$X$640,24,FALSE),""),"")</f>
        <v/>
      </c>
      <c r="L8" s="247"/>
      <c r="M8" s="248"/>
      <c r="N8" s="248"/>
      <c r="O8" s="247"/>
      <c r="P8" s="248"/>
      <c r="Q8" s="267"/>
    </row>
    <row r="9" spans="1:18">
      <c r="A9" s="247" t="s">
        <v>631</v>
      </c>
      <c r="B9" s="262"/>
      <c r="C9" s="249">
        <v>0</v>
      </c>
      <c r="D9" s="249">
        <v>0</v>
      </c>
      <c r="E9" s="249">
        <v>0</v>
      </c>
      <c r="F9" s="266"/>
      <c r="G9" s="248"/>
      <c r="H9" s="248"/>
      <c r="I9" s="247"/>
      <c r="J9" s="248"/>
      <c r="K9" s="267"/>
      <c r="L9" s="247"/>
      <c r="M9" s="249"/>
      <c r="N9" s="248"/>
      <c r="O9" s="266"/>
      <c r="P9" s="249"/>
      <c r="Q9" s="267"/>
    </row>
    <row r="10" spans="1:18">
      <c r="A10" s="247" t="s">
        <v>565</v>
      </c>
      <c r="B10" s="262" t="s">
        <v>28</v>
      </c>
      <c r="C10" s="249">
        <f>IF(convertString(B10, "prefix")&lt;&gt;"",VLOOKUP(convertString(B10, "prefix"),Items!$A$544:$Z$612,15,FALSE),0) + IF(convertString(B10, "item")&lt;&gt;"",VLOOKUP(convertString(B10, "item"),Items!$A$14:$X$432,15,FALSE),0) + IF(convertString(B10, "suffix")&lt;&gt;"",VLOOKUP(convertString(B10, "suffix"),Items!$A$544:$Z$612,15,FALSE),0) + SUM(C11:C16)</f>
        <v>3</v>
      </c>
      <c r="D10" s="249">
        <f>IF(convertString(B10, "prefix")&lt;&gt;"",VLOOKUP(convertString(B10, "prefix"),Items!$A$544:$Z$612,16,FALSE),0) + IF(convertString(B10, "item")&lt;&gt;"",VLOOKUP(convertString(B10, "item"),Items!$A$14:$X$432,16,FALSE),0) + IF(convertString(B10, "suffix")&lt;&gt;"",VLOOKUP(convertString(B10, "suffix"),Items!$A$544:$Z$612,16,FALSE),0)+SUM(D11:D16)</f>
        <v>0</v>
      </c>
      <c r="E10" s="249">
        <f>IF(convertString(B10, "prefix")&lt;&gt;"",VLOOKUP(convertString(B10, "prefix"),Items!$A$544:$Z$612,17,FALSE),0) + IF(convertString(B10, "item")&lt;&gt;"",VLOOKUP(convertString(B10, "item"),Items!$A$14:$X$432,17,FALSE),0) + IF(convertString(B10, "suffix")&lt;&gt;"",VLOOKUP(convertString(B10, "suffix"),Items!$A$544:$Z$612,17,FALSE),0)+SUM(E11:E16)</f>
        <v>0</v>
      </c>
      <c r="F10" s="266" t="str">
        <f>IF(VLOOKUP(convertString(B10, "item"),Items!$A$14:$X$432,19,FALSE)&lt;&gt;"",VLOOKUP(convertString(B10, "item"),Items!$A$14:$X$432,19,FALSE),"")</f>
        <v/>
      </c>
      <c r="G10" s="269" t="str">
        <f>IF(VLOOKUP(convertString(B10, "item"),Items!$A$14:$X$432,20,FALSE)&lt;&gt;0,VLOOKUP(convertString(B10, "item"),Items!$A$14:$X$432,20,FALSE),"")</f>
        <v/>
      </c>
      <c r="H10" s="248" t="str">
        <f>IF(VLOOKUP(convertString(B10, "item"),Items!$A$14:$X$432,21,FALSE)&lt;&gt;"",VLOOKUP(convertString(B10, "item"),Items!$A$14:$X$432,21,FALSE),"")</f>
        <v/>
      </c>
      <c r="I10" s="266" t="str">
        <f>IF(VLOOKUP(convertString(B10, "item"),Items!$A$14:$X$432,22,FALSE)&lt;&gt;"",VLOOKUP(convertString(B10, "item"),Items!$A$14:$X$432,22,FALSE),"")</f>
        <v/>
      </c>
      <c r="J10" s="265" t="str">
        <f>IF(VLOOKUP(convertString(B10, "item"),Items!$A$14:$X$432,23,FALSE)&lt;&gt;"",VLOOKUP(convertString(B10, "item"),Items!$A$14:$X$432,23,FALSE),"")</f>
        <v/>
      </c>
      <c r="K10" s="248" t="str">
        <f>IF(VLOOKUP(convertString(B10, "item"),Items!$A$14:$X$432,24,FALSE)&lt;&gt;"",VLOOKUP(convertString(B10, "item"),Items!$A$14:$X$432,24,FALSE),"")</f>
        <v/>
      </c>
      <c r="L10" s="266" t="str">
        <f>IF(IF(convertString(B10, "suffix")&lt;&gt;"",VLOOKUP(convertString(B10, "suffix"),Items!$A$544:$Z$612,19,FALSE),"")&lt;&gt;"",IF(convertString(B10, "suffix")&lt;&gt;"",VLOOKUP(convertString(B10, "suffix"),Items!$A$544:$Z$612,19,FALSE),""),"")</f>
        <v/>
      </c>
      <c r="M10" s="248" t="str">
        <f>IF(IF(convertString(B10, "suffix")&lt;&gt;"",VLOOKUP(convertString(B10, "suffix"),Items!$A$544:$Z$612,20,FALSE),"")&lt;&gt;"",IF(convertString(B10, "suffix")&lt;&gt;"",VLOOKUP(convertString(B10, "suffix"),Items!$A$544:$Z$612,20,FALSE),""),"")</f>
        <v/>
      </c>
      <c r="N10" s="248" t="str">
        <f>IF(IF(convertString(B10, "suffix")&lt;&gt;"",VLOOKUP(convertString(B10, "suffix"),Items!$A$544:$Z$612,21,FALSE),"")&lt;&gt;"",IF(convertString(B10, "suffix")&lt;&gt;"",VLOOKUP(convertString(B10, "suffix"),Items!$A$544:$Z$612,21,FALSE),""),"")</f>
        <v/>
      </c>
      <c r="O10" s="266" t="str">
        <f>IF(IF(convertString(B10, "prefix")&lt;&gt;"",VLOOKUP(convertString(B10, "prefix"),Items!$A$544:$Z$612,19,FALSE),"")&lt;&gt;"",IF(convertString(B10, "prefix")&lt;&gt;"",VLOOKUP(convertString(B10, "prefix"),Items!$A$544:$Z$612,19,FALSE),""),"")</f>
        <v/>
      </c>
      <c r="P10" s="264" t="str">
        <f>IF(IF(convertString(B10, "prefix")&lt;&gt;"",VLOOKUP(convertString(B10, "prefix"),Items!$A$544:$Z$612,20,FALSE),"")&lt;&gt;"",IF(convertString(B10, "prefix")&lt;&gt;"",VLOOKUP(convertString(B10, "prefix"),Items!$A$544:$Z$612,20,FALSE),""),"")</f>
        <v/>
      </c>
      <c r="Q10" s="267" t="str">
        <f>IF(IF(convertString(B10, "prefix")&lt;&gt;"",VLOOKUP(convertString(B10, "prefix"),Items!$A$544:$Z$612,21,FALSE),"")&lt;&gt;"",IF(convertString(B10, "prefix")&lt;&gt;"",VLOOKUP(convertString(B10, "prefix"),Items!$A$544:$Z$612,21,FALSE),""),"")</f>
        <v/>
      </c>
    </row>
    <row r="11" spans="1:18" hidden="1">
      <c r="A11" s="261" t="s">
        <v>1146</v>
      </c>
      <c r="B11" s="262"/>
      <c r="C11" s="249" t="str">
        <f>IF(B11&lt;&gt;"",VLOOKUP(B11,Items!$A$616:$X$640,15,FALSE),"")</f>
        <v/>
      </c>
      <c r="D11" s="249" t="str">
        <f>IF(B11&lt;&gt;"",VLOOKUP(B11,Items!$A$616:$X$640,16,FALSE),"")</f>
        <v/>
      </c>
      <c r="E11" s="263" t="str">
        <f>IF(B11&lt;&gt;"",VLOOKUP(B11,Items!$A$616:$X$640,17,FALSE),"")</f>
        <v/>
      </c>
      <c r="F11" s="264" t="str">
        <f>IF(B11&lt;&gt;"",IF(VLOOKUP(B11,Items!$A$616:$X$640,19,FALSE)&lt;&gt;0,VLOOKUP(B11,Items!$A$616:$X$640,19,FALSE),""),"")</f>
        <v/>
      </c>
      <c r="G11" s="265" t="str">
        <f>IF(B11&lt;&gt;"",IF(VLOOKUP(B11,Items!$A$616:$X$640,20,FALSE)&lt;&gt;0,VLOOKUP(B11,Items!$A$616:$X$640,20,FALSE),""),"")</f>
        <v/>
      </c>
      <c r="H11" s="248" t="str">
        <f>IF(B11&lt;&gt;"",IF(VLOOKUP(B11,Items!$A$616:$X$640,21,FALSE)&lt;&gt;0,VLOOKUP(B11,Items!$A$616:$X$640,21,FALSE),""),"")</f>
        <v/>
      </c>
      <c r="I11" s="266" t="str">
        <f>IF(B11&lt;&gt;"",IF(VLOOKUP(B11,Items!$A$616:$X$640,22,FALSE)&lt;&gt;0,VLOOKUP(B11,Items!$A$616:$X$640,22,FALSE),""),"")</f>
        <v/>
      </c>
      <c r="J11" s="248" t="str">
        <f>IF(B11&lt;&gt;"",IF(VLOOKUP(B11,Items!$A$616:$X$640,23,FALSE)&lt;&gt;0,VLOOKUP(B11,Items!$A$616:$X$640,23,FALSE),""),"")</f>
        <v/>
      </c>
      <c r="K11" s="267" t="str">
        <f>IF(B11&lt;&gt;"",IF(VLOOKUP(B11,Items!$A$616:$X$640,24,FALSE)&lt;&gt;0,VLOOKUP(B11,Items!$A$616:$X$640,24,FALSE),""),"")</f>
        <v/>
      </c>
      <c r="L11" s="266"/>
      <c r="M11" s="248"/>
      <c r="N11" s="248"/>
      <c r="O11" s="266"/>
      <c r="P11" s="264"/>
      <c r="Q11" s="267"/>
    </row>
    <row r="12" spans="1:18" hidden="1">
      <c r="A12" s="261" t="s">
        <v>1147</v>
      </c>
      <c r="B12" s="262"/>
      <c r="C12" s="249" t="str">
        <f>IF(B12&lt;&gt;"",VLOOKUP(B12,Items!$A$616:$X$640,15,FALSE),"")</f>
        <v/>
      </c>
      <c r="D12" s="249" t="str">
        <f>IF(B12&lt;&gt;"",VLOOKUP(B12,Items!$A$616:$X$640,16,FALSE),"")</f>
        <v/>
      </c>
      <c r="E12" s="263" t="str">
        <f>IF(B12&lt;&gt;"",VLOOKUP(B12,Items!$A$616:$X$640,17,FALSE),"")</f>
        <v/>
      </c>
      <c r="F12" s="264" t="str">
        <f>IF(B12&lt;&gt;"",IF(VLOOKUP(B12,Items!$A$616:$X$640,19,FALSE)&lt;&gt;0,VLOOKUP(B12,Items!$A$616:$X$640,19,FALSE),""),"")</f>
        <v/>
      </c>
      <c r="G12" s="265" t="str">
        <f>IF(B12&lt;&gt;"",IF(VLOOKUP(B12,Items!$A$616:$X$640,20,FALSE)&lt;&gt;0,VLOOKUP(B12,Items!$A$616:$X$640,20,FALSE),""),"")</f>
        <v/>
      </c>
      <c r="H12" s="248" t="str">
        <f>IF(B12&lt;&gt;"",IF(VLOOKUP(B12,Items!$A$616:$X$640,21,FALSE)&lt;&gt;0,VLOOKUP(B12,Items!$A$616:$X$640,21,FALSE),""),"")</f>
        <v/>
      </c>
      <c r="I12" s="266" t="str">
        <f>IF(B12&lt;&gt;"",IF(VLOOKUP(B12,Items!$A$616:$X$640,22,FALSE)&lt;&gt;0,VLOOKUP(B12,Items!$A$616:$X$640,22,FALSE),""),"")</f>
        <v/>
      </c>
      <c r="J12" s="248" t="str">
        <f>IF(B12&lt;&gt;"",IF(VLOOKUP(B12,Items!$A$616:$X$640,23,FALSE)&lt;&gt;0,VLOOKUP(B12,Items!$A$616:$X$640,23,FALSE),""),"")</f>
        <v/>
      </c>
      <c r="K12" s="267" t="str">
        <f>IF(B12&lt;&gt;"",IF(VLOOKUP(B12,Items!$A$616:$X$640,24,FALSE)&lt;&gt;0,VLOOKUP(B12,Items!$A$616:$X$640,24,FALSE),""),"")</f>
        <v/>
      </c>
      <c r="L12" s="266"/>
      <c r="M12" s="248"/>
      <c r="N12" s="248"/>
      <c r="O12" s="266"/>
      <c r="P12" s="264"/>
      <c r="Q12" s="267"/>
    </row>
    <row r="13" spans="1:18" hidden="1">
      <c r="A13" s="261" t="s">
        <v>1148</v>
      </c>
      <c r="B13" s="262"/>
      <c r="C13" s="249" t="str">
        <f>IF(B13&lt;&gt;"",VLOOKUP(B13,Items!$A$616:$X$640,15,FALSE),"")</f>
        <v/>
      </c>
      <c r="D13" s="249" t="str">
        <f>IF(B13&lt;&gt;"",VLOOKUP(B13,Items!$A$616:$X$640,16,FALSE),"")</f>
        <v/>
      </c>
      <c r="E13" s="263" t="str">
        <f>IF(B13&lt;&gt;"",VLOOKUP(B13,Items!$A$616:$X$640,17,FALSE),"")</f>
        <v/>
      </c>
      <c r="F13" s="264" t="str">
        <f>IF(B13&lt;&gt;"",IF(VLOOKUP(B13,Items!$A$616:$X$640,19,FALSE)&lt;&gt;0,VLOOKUP(B13,Items!$A$616:$X$640,19,FALSE),""),"")</f>
        <v/>
      </c>
      <c r="G13" s="265" t="str">
        <f>IF(B13&lt;&gt;"",IF(VLOOKUP(B13,Items!$A$616:$X$640,20,FALSE)&lt;&gt;0,VLOOKUP(B13,Items!$A$616:$X$640,20,FALSE),""),"")</f>
        <v/>
      </c>
      <c r="H13" s="248" t="str">
        <f>IF(B13&lt;&gt;"",IF(VLOOKUP(B13,Items!$A$616:$X$640,21,FALSE)&lt;&gt;0,VLOOKUP(B13,Items!$A$616:$X$640,21,FALSE),""),"")</f>
        <v/>
      </c>
      <c r="I13" s="266" t="str">
        <f>IF(B13&lt;&gt;"",IF(VLOOKUP(B13,Items!$A$616:$X$640,22,FALSE)&lt;&gt;0,VLOOKUP(B13,Items!$A$616:$X$640,22,FALSE),""),"")</f>
        <v/>
      </c>
      <c r="J13" s="248" t="str">
        <f>IF(B13&lt;&gt;"",IF(VLOOKUP(B13,Items!$A$616:$X$640,23,FALSE)&lt;&gt;0,VLOOKUP(B13,Items!$A$616:$X$640,23,FALSE),""),"")</f>
        <v/>
      </c>
      <c r="K13" s="267" t="str">
        <f>IF(B13&lt;&gt;"",IF(VLOOKUP(B13,Items!$A$616:$X$640,24,FALSE)&lt;&gt;0,VLOOKUP(B13,Items!$A$616:$X$640,24,FALSE),""),"")</f>
        <v/>
      </c>
      <c r="L13" s="266"/>
      <c r="M13" s="248"/>
      <c r="N13" s="248"/>
      <c r="O13" s="266"/>
      <c r="P13" s="264"/>
      <c r="Q13" s="267"/>
    </row>
    <row r="14" spans="1:18" hidden="1">
      <c r="A14" s="261" t="s">
        <v>1149</v>
      </c>
      <c r="B14" s="262"/>
      <c r="C14" s="249" t="str">
        <f>IF(B14&lt;&gt;"",VLOOKUP(B14,Items!$A$616:$X$640,15,FALSE),"")</f>
        <v/>
      </c>
      <c r="D14" s="249" t="str">
        <f>IF(B14&lt;&gt;"",VLOOKUP(B14,Items!$A$616:$X$640,16,FALSE),"")</f>
        <v/>
      </c>
      <c r="E14" s="263" t="str">
        <f>IF(B14&lt;&gt;"",VLOOKUP(B14,Items!$A$616:$X$640,17,FALSE),"")</f>
        <v/>
      </c>
      <c r="F14" s="264" t="str">
        <f>IF(B14&lt;&gt;"",IF(VLOOKUP(B14,Items!$A$616:$X$640,19,FALSE)&lt;&gt;0,VLOOKUP(B14,Items!$A$616:$X$640,19,FALSE),""),"")</f>
        <v/>
      </c>
      <c r="G14" s="265" t="str">
        <f>IF(B14&lt;&gt;"",IF(VLOOKUP(B14,Items!$A$616:$X$640,20,FALSE)&lt;&gt;0,VLOOKUP(B14,Items!$A$616:$X$640,20,FALSE),""),"")</f>
        <v/>
      </c>
      <c r="H14" s="248" t="str">
        <f>IF(B14&lt;&gt;"",IF(VLOOKUP(B14,Items!$A$616:$X$640,21,FALSE)&lt;&gt;0,VLOOKUP(B14,Items!$A$616:$X$640,21,FALSE),""),"")</f>
        <v/>
      </c>
      <c r="I14" s="266" t="str">
        <f>IF(B14&lt;&gt;"",IF(VLOOKUP(B14,Items!$A$616:$X$640,22,FALSE)&lt;&gt;0,VLOOKUP(B14,Items!$A$616:$X$640,22,FALSE),""),"")</f>
        <v/>
      </c>
      <c r="J14" s="248" t="str">
        <f>IF(B14&lt;&gt;"",IF(VLOOKUP(B14,Items!$A$616:$X$640,23,FALSE)&lt;&gt;0,VLOOKUP(B14,Items!$A$616:$X$640,23,FALSE),""),"")</f>
        <v/>
      </c>
      <c r="K14" s="267" t="str">
        <f>IF(B14&lt;&gt;"",IF(VLOOKUP(B14,Items!$A$616:$X$640,24,FALSE)&lt;&gt;0,VLOOKUP(B14,Items!$A$616:$X$640,24,FALSE),""),"")</f>
        <v/>
      </c>
      <c r="L14" s="266"/>
      <c r="M14" s="248"/>
      <c r="N14" s="248"/>
      <c r="O14" s="266"/>
      <c r="P14" s="264"/>
      <c r="Q14" s="267"/>
    </row>
    <row r="15" spans="1:18" hidden="1">
      <c r="A15" s="261" t="s">
        <v>1150</v>
      </c>
      <c r="B15" s="262"/>
      <c r="C15" s="249" t="str">
        <f>IF(B15&lt;&gt;"",VLOOKUP(B15,Items!$A$616:$X$640,15,FALSE),"")</f>
        <v/>
      </c>
      <c r="D15" s="249" t="str">
        <f>IF(B15&lt;&gt;"",VLOOKUP(B15,Items!$A$616:$X$640,16,FALSE),"")</f>
        <v/>
      </c>
      <c r="E15" s="263" t="str">
        <f>IF(B15&lt;&gt;"",VLOOKUP(B15,Items!$A$616:$X$640,17,FALSE),"")</f>
        <v/>
      </c>
      <c r="F15" s="264" t="str">
        <f>IF(B15&lt;&gt;"",IF(VLOOKUP(B15,Items!$A$616:$X$640,19,FALSE)&lt;&gt;0,VLOOKUP(B15,Items!$A$616:$X$640,19,FALSE),""),"")</f>
        <v/>
      </c>
      <c r="G15" s="265" t="str">
        <f>IF(B15&lt;&gt;"",IF(VLOOKUP(B15,Items!$A$616:$X$640,20,FALSE)&lt;&gt;0,VLOOKUP(B15,Items!$A$616:$X$640,20,FALSE),""),"")</f>
        <v/>
      </c>
      <c r="H15" s="248" t="str">
        <f>IF(B15&lt;&gt;"",IF(VLOOKUP(B15,Items!$A$616:$X$640,21,FALSE)&lt;&gt;0,VLOOKUP(B15,Items!$A$616:$X$640,21,FALSE),""),"")</f>
        <v/>
      </c>
      <c r="I15" s="266" t="str">
        <f>IF(B15&lt;&gt;"",IF(VLOOKUP(B15,Items!$A$616:$X$640,22,FALSE)&lt;&gt;0,VLOOKUP(B15,Items!$A$616:$X$640,22,FALSE),""),"")</f>
        <v/>
      </c>
      <c r="J15" s="248" t="str">
        <f>IF(B15&lt;&gt;"",IF(VLOOKUP(B15,Items!$A$616:$X$640,23,FALSE)&lt;&gt;0,VLOOKUP(B15,Items!$A$616:$X$640,23,FALSE),""),"")</f>
        <v/>
      </c>
      <c r="K15" s="267" t="str">
        <f>IF(B15&lt;&gt;"",IF(VLOOKUP(B15,Items!$A$616:$X$640,24,FALSE)&lt;&gt;0,VLOOKUP(B15,Items!$A$616:$X$640,24,FALSE),""),"")</f>
        <v/>
      </c>
      <c r="L15" s="266"/>
      <c r="M15" s="248"/>
      <c r="N15" s="248"/>
      <c r="O15" s="266"/>
      <c r="P15" s="264"/>
      <c r="Q15" s="267"/>
    </row>
    <row r="16" spans="1:18" hidden="1">
      <c r="A16" s="261" t="s">
        <v>1151</v>
      </c>
      <c r="B16" s="262"/>
      <c r="C16" s="249" t="str">
        <f>IF(B16&lt;&gt;"",VLOOKUP(B16,Items!$A$616:$X$640,15,FALSE),"")</f>
        <v/>
      </c>
      <c r="D16" s="249" t="str">
        <f>IF(B16&lt;&gt;"",VLOOKUP(B16,Items!$A$616:$X$640,16,FALSE),"")</f>
        <v/>
      </c>
      <c r="E16" s="263" t="str">
        <f>IF(B16&lt;&gt;"",VLOOKUP(B16,Items!$A$616:$X$640,17,FALSE),"")</f>
        <v/>
      </c>
      <c r="F16" s="264" t="str">
        <f>IF(B16&lt;&gt;"",IF(VLOOKUP(B16,Items!$A$616:$X$640,19,FALSE)&lt;&gt;0,VLOOKUP(B16,Items!$A$616:$X$640,19,FALSE),""),"")</f>
        <v/>
      </c>
      <c r="G16" s="265" t="str">
        <f>IF(B16&lt;&gt;"",IF(VLOOKUP(B16,Items!$A$616:$X$640,20,FALSE)&lt;&gt;0,VLOOKUP(B16,Items!$A$616:$X$640,20,FALSE),""),"")</f>
        <v/>
      </c>
      <c r="H16" s="248" t="str">
        <f>IF(B16&lt;&gt;"",IF(VLOOKUP(B16,Items!$A$616:$X$640,21,FALSE)&lt;&gt;0,VLOOKUP(B16,Items!$A$616:$X$640,21,FALSE),""),"")</f>
        <v/>
      </c>
      <c r="I16" s="266" t="str">
        <f>IF(B16&lt;&gt;"",IF(VLOOKUP(B16,Items!$A$616:$X$640,22,FALSE)&lt;&gt;0,VLOOKUP(B16,Items!$A$616:$X$640,22,FALSE),""),"")</f>
        <v/>
      </c>
      <c r="J16" s="248" t="str">
        <f>IF(B16&lt;&gt;"",IF(VLOOKUP(B16,Items!$A$616:$X$640,23,FALSE)&lt;&gt;0,VLOOKUP(B16,Items!$A$616:$X$640,23,FALSE),""),"")</f>
        <v/>
      </c>
      <c r="K16" s="267" t="str">
        <f>IF(B16&lt;&gt;"",IF(VLOOKUP(B16,Items!$A$616:$X$640,24,FALSE)&lt;&gt;0,VLOOKUP(B16,Items!$A$616:$X$640,24,FALSE),""),"")</f>
        <v/>
      </c>
      <c r="L16" s="266"/>
      <c r="M16" s="248"/>
      <c r="N16" s="248"/>
      <c r="O16" s="266"/>
      <c r="P16" s="264"/>
      <c r="Q16" s="267"/>
    </row>
    <row r="17" spans="1:17">
      <c r="A17" s="247" t="s">
        <v>570</v>
      </c>
      <c r="B17" s="262" t="s">
        <v>603</v>
      </c>
      <c r="C17" s="249">
        <f>IF(convertString(B17, "prefix")&lt;&gt;"",VLOOKUP(convertString(B17, "prefix"),Items!$A$544:$Z$612,15,FALSE),0) + IF(convertString(B17, "item")&lt;&gt;"",VLOOKUP(convertString(B17, "item"),Items!$A$14:$X$432,15,FALSE),0) + IF(convertString(B17, "suffix")&lt;&gt;"",VLOOKUP(convertString(B17, "suffix"),Items!$A$544:$Z$612,15,FALSE),0) + SUM(C18:C23)</f>
        <v>2</v>
      </c>
      <c r="D17" s="249">
        <f>IF(convertString(B17, "prefix")&lt;&gt;"",VLOOKUP(convertString(B17, "prefix"),Items!$A$544:$Z$612,16,FALSE),0) + IF(convertString(B17, "item")&lt;&gt;"",VLOOKUP(convertString(B17, "item"),Items!$A$14:$X$432,16,FALSE),0) + IF(convertString(B17, "suffix")&lt;&gt;"",VLOOKUP(convertString(B17, "suffix"),Items!$A$544:$Z$612,16,FALSE),0)+SUM(D18:D23)</f>
        <v>0</v>
      </c>
      <c r="E17" s="249">
        <f>IF(convertString(B17, "prefix")&lt;&gt;"",VLOOKUP(convertString(B17, "prefix"),Items!$A$544:$Z$612,17,FALSE),0) + IF(convertString(B17, "item")&lt;&gt;"",VLOOKUP(convertString(B17, "item"),Items!$A$14:$X$432,17,FALSE),0) + IF(convertString(B17, "suffix")&lt;&gt;"",VLOOKUP(convertString(B17, "suffix"),Items!$A$544:$Z$612,17,FALSE),0)+SUM(E18:E23)</f>
        <v>0</v>
      </c>
      <c r="F17" s="266" t="str">
        <f>IF(VLOOKUP(convertString(B17, "item"),Items!$A$14:$X$432,19,FALSE)&lt;&gt;"",VLOOKUP(convertString(B17, "item"),Items!$A$14:$X$432,19,FALSE),"")</f>
        <v/>
      </c>
      <c r="G17" s="269" t="str">
        <f>IF(VLOOKUP(convertString(B17, "item"),Items!$A$14:$X$432,20,FALSE)&lt;&gt;0,VLOOKUP(convertString(B17, "item"),Items!$A$14:$X$432,20,FALSE),"")</f>
        <v/>
      </c>
      <c r="H17" s="248" t="str">
        <f>IF(VLOOKUP(convertString(B17, "item"),Items!$A$14:$X$432,21,FALSE)&lt;&gt;"",VLOOKUP(convertString(B17, "item"),Items!$A$14:$X$432,21,FALSE),"")</f>
        <v/>
      </c>
      <c r="I17" s="266" t="str">
        <f>IF(VLOOKUP(convertString(B17, "item"),Items!$A$14:$X$432,22,FALSE)&lt;&gt;"",VLOOKUP(convertString(B17, "item"),Items!$A$14:$X$432,22,FALSE),"")</f>
        <v/>
      </c>
      <c r="J17" s="265" t="str">
        <f>IF(VLOOKUP(convertString(B17, "item"),Items!$A$14:$X$432,23,FALSE)&lt;&gt;"",VLOOKUP(convertString(B17, "item"),Items!$A$14:$X$432,23,FALSE),"")</f>
        <v/>
      </c>
      <c r="K17" s="248" t="str">
        <f>IF(VLOOKUP(convertString(B17, "item"),Items!$A$14:$X$432,24,FALSE)&lt;&gt;"",VLOOKUP(convertString(B17, "item"),Items!$A$14:$X$432,24,FALSE),"")</f>
        <v/>
      </c>
      <c r="L17" s="266" t="str">
        <f>IF(IF(convertString(B17, "suffix")&lt;&gt;"",VLOOKUP(convertString(B17, "suffix"),Items!$A$544:$Z$612,19,FALSE),"")&lt;&gt;"",IF(convertString(B17, "suffix")&lt;&gt;"",VLOOKUP(convertString(B17, "suffix"),Items!$A$544:$Z$612,19,FALSE),""),"")</f>
        <v/>
      </c>
      <c r="M17" s="248" t="str">
        <f>IF(IF(convertString(B17, "suffix")&lt;&gt;"",VLOOKUP(convertString(B17, "suffix"),Items!$A$544:$Z$612,20,FALSE),"")&lt;&gt;"",IF(convertString(B17, "suffix")&lt;&gt;"",VLOOKUP(convertString(B17, "suffix"),Items!$A$544:$Z$612,20,FALSE),""),"")</f>
        <v/>
      </c>
      <c r="N17" s="248" t="str">
        <f>IF(IF(convertString(B17, "suffix")&lt;&gt;"",VLOOKUP(convertString(B17, "suffix"),Items!$A$544:$Z$612,21,FALSE),"")&lt;&gt;"",IF(convertString(B17, "suffix")&lt;&gt;"",VLOOKUP(convertString(B17, "suffix"),Items!$A$544:$Z$612,21,FALSE),""),"")</f>
        <v/>
      </c>
      <c r="O17" s="266" t="str">
        <f>IF(IF(convertString(B17, "prefix")&lt;&gt;"",VLOOKUP(convertString(B17, "prefix"),Items!$A$544:$Z$612,19,FALSE),"")&lt;&gt;"",IF(convertString(B17, "prefix")&lt;&gt;"",VLOOKUP(convertString(B17, "prefix"),Items!$A$544:$Z$612,19,FALSE),""),"")</f>
        <v/>
      </c>
      <c r="P17" s="264" t="str">
        <f>IF(IF(convertString(B17, "prefix")&lt;&gt;"",VLOOKUP(convertString(B17, "prefix"),Items!$A$544:$Z$612,20,FALSE),"")&lt;&gt;"",IF(convertString(B17, "prefix")&lt;&gt;"",VLOOKUP(convertString(B17, "prefix"),Items!$A$544:$Z$612,20,FALSE),""),"")</f>
        <v/>
      </c>
      <c r="Q17" s="267" t="str">
        <f>IF(IF(convertString(B17, "prefix")&lt;&gt;"",VLOOKUP(convertString(B17, "prefix"),Items!$A$544:$Z$612,21,FALSE),"")&lt;&gt;"",IF(convertString(B17, "prefix")&lt;&gt;"",VLOOKUP(convertString(B17, "prefix"),Items!$A$544:$Z$612,21,FALSE),""),"")</f>
        <v/>
      </c>
    </row>
    <row r="18" spans="1:17" hidden="1">
      <c r="A18" s="261" t="s">
        <v>1146</v>
      </c>
      <c r="B18" s="262"/>
      <c r="C18" s="249" t="str">
        <f>IF(B18&lt;&gt;"",VLOOKUP(B18,Items!$A$616:$X$640,15,FALSE),"")</f>
        <v/>
      </c>
      <c r="D18" s="249" t="str">
        <f>IF(B18&lt;&gt;"",VLOOKUP(B18,Items!$A$616:$X$640,16,FALSE),"")</f>
        <v/>
      </c>
      <c r="E18" s="263" t="str">
        <f>IF(B18&lt;&gt;"",VLOOKUP(B18,Items!$A$616:$X$640,17,FALSE),"")</f>
        <v/>
      </c>
      <c r="F18" s="264" t="str">
        <f>IF(B18&lt;&gt;"",IF(VLOOKUP(B18,Items!$A$616:$X$640,19,FALSE)&lt;&gt;0,VLOOKUP(B18,Items!$A$616:$X$640,19,FALSE),""),"")</f>
        <v/>
      </c>
      <c r="G18" s="265" t="str">
        <f>IF(B18&lt;&gt;"",IF(VLOOKUP(B18,Items!$A$616:$X$640,20,FALSE)&lt;&gt;0,VLOOKUP(B18,Items!$A$616:$X$640,20,FALSE),""),"")</f>
        <v/>
      </c>
      <c r="H18" s="248" t="str">
        <f>IF(B18&lt;&gt;"",IF(VLOOKUP(B18,Items!$A$616:$X$640,21,FALSE)&lt;&gt;0,VLOOKUP(B18,Items!$A$616:$X$640,21,FALSE),""),"")</f>
        <v/>
      </c>
      <c r="I18" s="266" t="str">
        <f>IF(B18&lt;&gt;"",IF(VLOOKUP(B18,Items!$A$616:$X$640,22,FALSE)&lt;&gt;0,VLOOKUP(B18,Items!$A$616:$X$640,22,FALSE),""),"")</f>
        <v/>
      </c>
      <c r="J18" s="248" t="str">
        <f>IF(B18&lt;&gt;"",IF(VLOOKUP(B18,Items!$A$616:$X$640,23,FALSE)&lt;&gt;0,VLOOKUP(B18,Items!$A$616:$X$640,23,FALSE),""),"")</f>
        <v/>
      </c>
      <c r="K18" s="267" t="str">
        <f>IF(B18&lt;&gt;"",IF(VLOOKUP(B18,Items!$A$616:$X$640,24,FALSE)&lt;&gt;0,VLOOKUP(B18,Items!$A$616:$X$640,24,FALSE),""),"")</f>
        <v/>
      </c>
      <c r="L18" s="266"/>
      <c r="M18" s="248"/>
      <c r="N18" s="248"/>
      <c r="O18" s="266"/>
      <c r="P18" s="264"/>
      <c r="Q18" s="267"/>
    </row>
    <row r="19" spans="1:17" hidden="1">
      <c r="A19" s="261" t="s">
        <v>1147</v>
      </c>
      <c r="B19" s="262"/>
      <c r="C19" s="249" t="str">
        <f>IF(B19&lt;&gt;"",VLOOKUP(B19,Items!$A$616:$X$640,15,FALSE),"")</f>
        <v/>
      </c>
      <c r="D19" s="249" t="str">
        <f>IF(B19&lt;&gt;"",VLOOKUP(B19,Items!$A$616:$X$640,16,FALSE),"")</f>
        <v/>
      </c>
      <c r="E19" s="263" t="str">
        <f>IF(B19&lt;&gt;"",VLOOKUP(B19,Items!$A$616:$X$640,17,FALSE),"")</f>
        <v/>
      </c>
      <c r="F19" s="264" t="str">
        <f>IF(B19&lt;&gt;"",IF(VLOOKUP(B19,Items!$A$616:$X$640,19,FALSE)&lt;&gt;0,VLOOKUP(B19,Items!$A$616:$X$640,19,FALSE),""),"")</f>
        <v/>
      </c>
      <c r="G19" s="265" t="str">
        <f>IF(B19&lt;&gt;"",IF(VLOOKUP(B19,Items!$A$616:$X$640,20,FALSE)&lt;&gt;0,VLOOKUP(B19,Items!$A$616:$X$640,20,FALSE),""),"")</f>
        <v/>
      </c>
      <c r="H19" s="248" t="str">
        <f>IF(B19&lt;&gt;"",IF(VLOOKUP(B19,Items!$A$616:$X$640,21,FALSE)&lt;&gt;0,VLOOKUP(B19,Items!$A$616:$X$640,21,FALSE),""),"")</f>
        <v/>
      </c>
      <c r="I19" s="266" t="str">
        <f>IF(B19&lt;&gt;"",IF(VLOOKUP(B19,Items!$A$616:$X$640,22,FALSE)&lt;&gt;0,VLOOKUP(B19,Items!$A$616:$X$640,22,FALSE),""),"")</f>
        <v/>
      </c>
      <c r="J19" s="248" t="str">
        <f>IF(B19&lt;&gt;"",IF(VLOOKUP(B19,Items!$A$616:$X$640,23,FALSE)&lt;&gt;0,VLOOKUP(B19,Items!$A$616:$X$640,23,FALSE),""),"")</f>
        <v/>
      </c>
      <c r="K19" s="267" t="str">
        <f>IF(B19&lt;&gt;"",IF(VLOOKUP(B19,Items!$A$616:$X$640,24,FALSE)&lt;&gt;0,VLOOKUP(B19,Items!$A$616:$X$640,24,FALSE),""),"")</f>
        <v/>
      </c>
      <c r="L19" s="266"/>
      <c r="M19" s="248"/>
      <c r="N19" s="248"/>
      <c r="O19" s="266"/>
      <c r="P19" s="264"/>
      <c r="Q19" s="267"/>
    </row>
    <row r="20" spans="1:17" hidden="1">
      <c r="A20" s="261" t="s">
        <v>1148</v>
      </c>
      <c r="B20" s="262"/>
      <c r="C20" s="249" t="str">
        <f>IF(B20&lt;&gt;"",VLOOKUP(B20,Items!$A$616:$X$640,15,FALSE),"")</f>
        <v/>
      </c>
      <c r="D20" s="249" t="str">
        <f>IF(B20&lt;&gt;"",VLOOKUP(B20,Items!$A$616:$X$640,16,FALSE),"")</f>
        <v/>
      </c>
      <c r="E20" s="263" t="str">
        <f>IF(B20&lt;&gt;"",VLOOKUP(B20,Items!$A$616:$X$640,17,FALSE),"")</f>
        <v/>
      </c>
      <c r="F20" s="264" t="str">
        <f>IF(B20&lt;&gt;"",IF(VLOOKUP(B20,Items!$A$616:$X$640,19,FALSE)&lt;&gt;0,VLOOKUP(B20,Items!$A$616:$X$640,19,FALSE),""),"")</f>
        <v/>
      </c>
      <c r="G20" s="265" t="str">
        <f>IF(B20&lt;&gt;"",IF(VLOOKUP(B20,Items!$A$616:$X$640,20,FALSE)&lt;&gt;0,VLOOKUP(B20,Items!$A$616:$X$640,20,FALSE),""),"")</f>
        <v/>
      </c>
      <c r="H20" s="248" t="str">
        <f>IF(B20&lt;&gt;"",IF(VLOOKUP(B20,Items!$A$616:$X$640,21,FALSE)&lt;&gt;0,VLOOKUP(B20,Items!$A$616:$X$640,21,FALSE),""),"")</f>
        <v/>
      </c>
      <c r="I20" s="266" t="str">
        <f>IF(B20&lt;&gt;"",IF(VLOOKUP(B20,Items!$A$616:$X$640,22,FALSE)&lt;&gt;0,VLOOKUP(B20,Items!$A$616:$X$640,22,FALSE),""),"")</f>
        <v/>
      </c>
      <c r="J20" s="248" t="str">
        <f>IF(B20&lt;&gt;"",IF(VLOOKUP(B20,Items!$A$616:$X$640,23,FALSE)&lt;&gt;0,VLOOKUP(B20,Items!$A$616:$X$640,23,FALSE),""),"")</f>
        <v/>
      </c>
      <c r="K20" s="267" t="str">
        <f>IF(B20&lt;&gt;"",IF(VLOOKUP(B20,Items!$A$616:$X$640,24,FALSE)&lt;&gt;0,VLOOKUP(B20,Items!$A$616:$X$640,24,FALSE),""),"")</f>
        <v/>
      </c>
      <c r="L20" s="266"/>
      <c r="M20" s="248"/>
      <c r="N20" s="248"/>
      <c r="O20" s="266"/>
      <c r="P20" s="264"/>
      <c r="Q20" s="267"/>
    </row>
    <row r="21" spans="1:17" hidden="1">
      <c r="A21" s="261" t="s">
        <v>1149</v>
      </c>
      <c r="B21" s="262"/>
      <c r="C21" s="249" t="str">
        <f>IF(B21&lt;&gt;"",VLOOKUP(B21,Items!$A$616:$X$640,15,FALSE),"")</f>
        <v/>
      </c>
      <c r="D21" s="249" t="str">
        <f>IF(B21&lt;&gt;"",VLOOKUP(B21,Items!$A$616:$X$640,16,FALSE),"")</f>
        <v/>
      </c>
      <c r="E21" s="263" t="str">
        <f>IF(B21&lt;&gt;"",VLOOKUP(B21,Items!$A$616:$X$640,17,FALSE),"")</f>
        <v/>
      </c>
      <c r="F21" s="264" t="str">
        <f>IF(B21&lt;&gt;"",IF(VLOOKUP(B21,Items!$A$616:$X$640,19,FALSE)&lt;&gt;0,VLOOKUP(B21,Items!$A$616:$X$640,19,FALSE),""),"")</f>
        <v/>
      </c>
      <c r="G21" s="265" t="str">
        <f>IF(B21&lt;&gt;"",IF(VLOOKUP(B21,Items!$A$616:$X$640,20,FALSE)&lt;&gt;0,VLOOKUP(B21,Items!$A$616:$X$640,20,FALSE),""),"")</f>
        <v/>
      </c>
      <c r="H21" s="248" t="str">
        <f>IF(B21&lt;&gt;"",IF(VLOOKUP(B21,Items!$A$616:$X$640,21,FALSE)&lt;&gt;0,VLOOKUP(B21,Items!$A$616:$X$640,21,FALSE),""),"")</f>
        <v/>
      </c>
      <c r="I21" s="266" t="str">
        <f>IF(B21&lt;&gt;"",IF(VLOOKUP(B21,Items!$A$616:$X$640,22,FALSE)&lt;&gt;0,VLOOKUP(B21,Items!$A$616:$X$640,22,FALSE),""),"")</f>
        <v/>
      </c>
      <c r="J21" s="248" t="str">
        <f>IF(B21&lt;&gt;"",IF(VLOOKUP(B21,Items!$A$616:$X$640,23,FALSE)&lt;&gt;0,VLOOKUP(B21,Items!$A$616:$X$640,23,FALSE),""),"")</f>
        <v/>
      </c>
      <c r="K21" s="267" t="str">
        <f>IF(B21&lt;&gt;"",IF(VLOOKUP(B21,Items!$A$616:$X$640,24,FALSE)&lt;&gt;0,VLOOKUP(B21,Items!$A$616:$X$640,24,FALSE),""),"")</f>
        <v/>
      </c>
      <c r="L21" s="266"/>
      <c r="M21" s="248"/>
      <c r="N21" s="248"/>
      <c r="O21" s="266"/>
      <c r="P21" s="264"/>
      <c r="Q21" s="267"/>
    </row>
    <row r="22" spans="1:17" hidden="1">
      <c r="A22" s="261" t="s">
        <v>1150</v>
      </c>
      <c r="B22" s="262"/>
      <c r="C22" s="249" t="str">
        <f>IF(B22&lt;&gt;"",VLOOKUP(B22,Items!$A$616:$X$640,15,FALSE),"")</f>
        <v/>
      </c>
      <c r="D22" s="249" t="str">
        <f>IF(B22&lt;&gt;"",VLOOKUP(B22,Items!$A$616:$X$640,16,FALSE),"")</f>
        <v/>
      </c>
      <c r="E22" s="263" t="str">
        <f>IF(B22&lt;&gt;"",VLOOKUP(B22,Items!$A$616:$X$640,17,FALSE),"")</f>
        <v/>
      </c>
      <c r="F22" s="264" t="str">
        <f>IF(B22&lt;&gt;"",IF(VLOOKUP(B22,Items!$A$616:$X$640,19,FALSE)&lt;&gt;0,VLOOKUP(B22,Items!$A$616:$X$640,19,FALSE),""),"")</f>
        <v/>
      </c>
      <c r="G22" s="265" t="str">
        <f>IF(B22&lt;&gt;"",IF(VLOOKUP(B22,Items!$A$616:$X$640,20,FALSE)&lt;&gt;0,VLOOKUP(B22,Items!$A$616:$X$640,20,FALSE),""),"")</f>
        <v/>
      </c>
      <c r="H22" s="248" t="str">
        <f>IF(B22&lt;&gt;"",IF(VLOOKUP(B22,Items!$A$616:$X$640,21,FALSE)&lt;&gt;0,VLOOKUP(B22,Items!$A$616:$X$640,21,FALSE),""),"")</f>
        <v/>
      </c>
      <c r="I22" s="266" t="str">
        <f>IF(B22&lt;&gt;"",IF(VLOOKUP(B22,Items!$A$616:$X$640,22,FALSE)&lt;&gt;0,VLOOKUP(B22,Items!$A$616:$X$640,22,FALSE),""),"")</f>
        <v/>
      </c>
      <c r="J22" s="248" t="str">
        <f>IF(B22&lt;&gt;"",IF(VLOOKUP(B22,Items!$A$616:$X$640,23,FALSE)&lt;&gt;0,VLOOKUP(B22,Items!$A$616:$X$640,23,FALSE),""),"")</f>
        <v/>
      </c>
      <c r="K22" s="267" t="str">
        <f>IF(B22&lt;&gt;"",IF(VLOOKUP(B22,Items!$A$616:$X$640,24,FALSE)&lt;&gt;0,VLOOKUP(B22,Items!$A$616:$X$640,24,FALSE),""),"")</f>
        <v/>
      </c>
      <c r="L22" s="266"/>
      <c r="M22" s="248"/>
      <c r="N22" s="248"/>
      <c r="O22" s="266"/>
      <c r="P22" s="264"/>
      <c r="Q22" s="267"/>
    </row>
    <row r="23" spans="1:17" hidden="1">
      <c r="A23" s="261" t="s">
        <v>1151</v>
      </c>
      <c r="B23" s="262"/>
      <c r="C23" s="249" t="str">
        <f>IF(B23&lt;&gt;"",VLOOKUP(B23,Items!$A$616:$X$640,15,FALSE),"")</f>
        <v/>
      </c>
      <c r="D23" s="249" t="str">
        <f>IF(B23&lt;&gt;"",VLOOKUP(B23,Items!$A$616:$X$640,16,FALSE),"")</f>
        <v/>
      </c>
      <c r="E23" s="263" t="str">
        <f>IF(B23&lt;&gt;"",VLOOKUP(B23,Items!$A$616:$X$640,17,FALSE),"")</f>
        <v/>
      </c>
      <c r="F23" s="264" t="str">
        <f>IF(B23&lt;&gt;"",IF(VLOOKUP(B23,Items!$A$616:$X$640,19,FALSE)&lt;&gt;0,VLOOKUP(B23,Items!$A$616:$X$640,19,FALSE),""),"")</f>
        <v/>
      </c>
      <c r="G23" s="265" t="str">
        <f>IF(B23&lt;&gt;"",IF(VLOOKUP(B23,Items!$A$616:$X$640,20,FALSE)&lt;&gt;0,VLOOKUP(B23,Items!$A$616:$X$640,20,FALSE),""),"")</f>
        <v/>
      </c>
      <c r="H23" s="248" t="str">
        <f>IF(B23&lt;&gt;"",IF(VLOOKUP(B23,Items!$A$616:$X$640,21,FALSE)&lt;&gt;0,VLOOKUP(B23,Items!$A$616:$X$640,21,FALSE),""),"")</f>
        <v/>
      </c>
      <c r="I23" s="266" t="str">
        <f>IF(B23&lt;&gt;"",IF(VLOOKUP(B23,Items!$A$616:$X$640,22,FALSE)&lt;&gt;0,VLOOKUP(B23,Items!$A$616:$X$640,22,FALSE),""),"")</f>
        <v/>
      </c>
      <c r="J23" s="248" t="str">
        <f>IF(B23&lt;&gt;"",IF(VLOOKUP(B23,Items!$A$616:$X$640,23,FALSE)&lt;&gt;0,VLOOKUP(B23,Items!$A$616:$X$640,23,FALSE),""),"")</f>
        <v/>
      </c>
      <c r="K23" s="267" t="str">
        <f>IF(B23&lt;&gt;"",IF(VLOOKUP(B23,Items!$A$616:$X$640,24,FALSE)&lt;&gt;0,VLOOKUP(B23,Items!$A$616:$X$640,24,FALSE),""),"")</f>
        <v/>
      </c>
      <c r="L23" s="266"/>
      <c r="M23" s="248"/>
      <c r="N23" s="248"/>
      <c r="O23" s="266"/>
      <c r="P23" s="264"/>
      <c r="Q23" s="267"/>
    </row>
    <row r="24" spans="1:17">
      <c r="A24" s="270" t="s">
        <v>567</v>
      </c>
      <c r="B24" s="262" t="s">
        <v>33</v>
      </c>
      <c r="C24" s="249">
        <f>IF(convertString(B24, "prefix")&lt;&gt;"",VLOOKUP(convertString(B24, "prefix"),Items!$A$544:$Z$612,15,FALSE),0) + IF(convertString(B24, "item")&lt;&gt;"",VLOOKUP(convertString(B24, "item"),Items!$A$14:$X$432,15,FALSE),0) + IF(convertString(B24, "suffix")&lt;&gt;"",VLOOKUP(convertString(B24, "suffix"),Items!$A$544:$Z$612,15,FALSE),0) + SUM(C25:C30)</f>
        <v>1</v>
      </c>
      <c r="D24" s="249">
        <f>IF(convertString(B24, "prefix")&lt;&gt;"",VLOOKUP(convertString(B24, "prefix"),Items!$A$544:$Z$612,16,FALSE),0) + IF(convertString(B24, "item")&lt;&gt;"",VLOOKUP(convertString(B24, "item"),Items!$A$14:$X$432,16,FALSE),0) + IF(convertString(B24, "suffix")&lt;&gt;"",VLOOKUP(convertString(B24, "suffix"),Items!$A$544:$Z$612,16,FALSE),0)+SUM(D25:D30)</f>
        <v>0</v>
      </c>
      <c r="E24" s="249">
        <f>IF(convertString(B24, "prefix")&lt;&gt;"",VLOOKUP(convertString(B24, "prefix"),Items!$A$544:$Z$612,17,FALSE),0) + IF(convertString(B24, "item")&lt;&gt;"",VLOOKUP(convertString(B24, "item"),Items!$A$14:$X$432,17,FALSE),0) + IF(convertString(B24, "suffix")&lt;&gt;"",VLOOKUP(convertString(B24, "suffix"),Items!$A$544:$Z$612,17,FALSE),0)+SUM(E25:E30)</f>
        <v>0</v>
      </c>
      <c r="F24" s="266" t="str">
        <f>IF(VLOOKUP(convertString(B24, "item"),Items!$A$14:$X$432,19,FALSE)&lt;&gt;"",VLOOKUP(convertString(B24, "item"),Items!$A$14:$X$432,19,FALSE),"")</f>
        <v/>
      </c>
      <c r="G24" s="269" t="str">
        <f>IF(VLOOKUP(convertString(B24, "item"),Items!$A$14:$X$432,20,FALSE)&lt;&gt;0,VLOOKUP(convertString(B24, "item"),Items!$A$14:$X$432,20,FALSE),"")</f>
        <v/>
      </c>
      <c r="H24" s="248" t="str">
        <f>IF(VLOOKUP(convertString(B24, "item"),Items!$A$14:$X$432,21,FALSE)&lt;&gt;"",VLOOKUP(convertString(B24, "item"),Items!$A$14:$X$432,21,FALSE),"")</f>
        <v/>
      </c>
      <c r="I24" s="266" t="str">
        <f>IF(VLOOKUP(convertString(B24, "item"),Items!$A$14:$X$432,22,FALSE)&lt;&gt;"",VLOOKUP(convertString(B24, "item"),Items!$A$14:$X$432,22,FALSE),"")</f>
        <v/>
      </c>
      <c r="J24" s="265" t="str">
        <f>IF(VLOOKUP(convertString(B24, "item"),Items!$A$14:$X$432,23,FALSE)&lt;&gt;"",VLOOKUP(convertString(B24, "item"),Items!$A$14:$X$432,23,FALSE),"")</f>
        <v/>
      </c>
      <c r="K24" s="248" t="str">
        <f>IF(VLOOKUP(convertString(B24, "item"),Items!$A$14:$X$432,24,FALSE)&lt;&gt;"",VLOOKUP(convertString(B24, "item"),Items!$A$14:$X$432,24,FALSE),"")</f>
        <v/>
      </c>
      <c r="L24" s="266" t="str">
        <f>IF(IF(convertString(B24, "suffix")&lt;&gt;"",VLOOKUP(convertString(B24, "suffix"),Items!$A$544:$Z$612,19,FALSE),"")&lt;&gt;"",IF(convertString(B24, "suffix")&lt;&gt;"",VLOOKUP(convertString(B24, "suffix"),Items!$A$544:$Z$612,19,FALSE),""),"")</f>
        <v/>
      </c>
      <c r="M24" s="248" t="str">
        <f>IF(IF(convertString(B24, "suffix")&lt;&gt;"",VLOOKUP(convertString(B24, "suffix"),Items!$A$544:$Z$612,20,FALSE),"")&lt;&gt;"",IF(convertString(B24, "suffix")&lt;&gt;"",VLOOKUP(convertString(B24, "suffix"),Items!$A$544:$Z$612,20,FALSE),""),"")</f>
        <v/>
      </c>
      <c r="N24" s="248" t="str">
        <f>IF(IF(convertString(B24, "suffix")&lt;&gt;"",VLOOKUP(convertString(B24, "suffix"),Items!$A$544:$Z$612,21,FALSE),"")&lt;&gt;"",IF(convertString(B24, "suffix")&lt;&gt;"",VLOOKUP(convertString(B24, "suffix"),Items!$A$544:$Z$612,21,FALSE),""),"")</f>
        <v/>
      </c>
      <c r="O24" s="266" t="str">
        <f>IF(IF(convertString(B24, "prefix")&lt;&gt;"",VLOOKUP(convertString(B24, "prefix"),Items!$A$544:$Z$612,19,FALSE),"")&lt;&gt;"",IF(convertString(B24, "prefix")&lt;&gt;"",VLOOKUP(convertString(B24, "prefix"),Items!$A$544:$Z$612,19,FALSE),""),"")</f>
        <v/>
      </c>
      <c r="P24" s="264" t="str">
        <f>IF(IF(convertString(B24, "prefix")&lt;&gt;"",VLOOKUP(convertString(B24, "prefix"),Items!$A$544:$Z$612,20,FALSE),"")&lt;&gt;"",IF(convertString(B24, "prefix")&lt;&gt;"",VLOOKUP(convertString(B24, "prefix"),Items!$A$544:$Z$612,20,FALSE),""),"")</f>
        <v/>
      </c>
      <c r="Q24" s="267" t="str">
        <f>IF(IF(convertString(B24, "prefix")&lt;&gt;"",VLOOKUP(convertString(B24, "prefix"),Items!$A$544:$Z$612,21,FALSE),"")&lt;&gt;"",IF(convertString(B24, "prefix")&lt;&gt;"",VLOOKUP(convertString(B24, "prefix"),Items!$A$544:$Z$612,21,FALSE),""),"")</f>
        <v/>
      </c>
    </row>
    <row r="25" spans="1:17" hidden="1">
      <c r="A25" s="261" t="s">
        <v>1146</v>
      </c>
      <c r="B25" s="262"/>
      <c r="C25" s="249" t="str">
        <f>IF(B25&lt;&gt;"",VLOOKUP(B25,Items!$A$616:$X$640,15,FALSE),"")</f>
        <v/>
      </c>
      <c r="D25" s="249" t="str">
        <f>IF(B25&lt;&gt;"",VLOOKUP(B25,Items!$A$616:$X$640,16,FALSE),"")</f>
        <v/>
      </c>
      <c r="E25" s="263" t="str">
        <f>IF(B25&lt;&gt;"",VLOOKUP(B25,Items!$A$616:$X$640,17,FALSE),"")</f>
        <v/>
      </c>
      <c r="F25" s="264" t="str">
        <f>IF(B25&lt;&gt;"",IF(VLOOKUP(B25,Items!$A$616:$X$640,19,FALSE)&lt;&gt;0,VLOOKUP(B25,Items!$A$616:$X$640,19,FALSE),""),"")</f>
        <v/>
      </c>
      <c r="G25" s="265" t="str">
        <f>IF(B25&lt;&gt;"",IF(VLOOKUP(B25,Items!$A$616:$X$640,20,FALSE)&lt;&gt;0,VLOOKUP(B25,Items!$A$616:$X$640,20,FALSE),""),"")</f>
        <v/>
      </c>
      <c r="H25" s="248" t="str">
        <f>IF(B25&lt;&gt;"",IF(VLOOKUP(B25,Items!$A$616:$X$640,21,FALSE)&lt;&gt;0,VLOOKUP(B25,Items!$A$616:$X$640,21,FALSE),""),"")</f>
        <v/>
      </c>
      <c r="I25" s="266" t="str">
        <f>IF(B25&lt;&gt;"",IF(VLOOKUP(B25,Items!$A$616:$X$640,22,FALSE)&lt;&gt;0,VLOOKUP(B25,Items!$A$616:$X$640,22,FALSE),""),"")</f>
        <v/>
      </c>
      <c r="J25" s="248" t="str">
        <f>IF(B25&lt;&gt;"",IF(VLOOKUP(B25,Items!$A$616:$X$640,23,FALSE)&lt;&gt;0,VLOOKUP(B25,Items!$A$616:$X$640,23,FALSE),""),"")</f>
        <v/>
      </c>
      <c r="K25" s="267" t="str">
        <f>IF(B25&lt;&gt;"",IF(VLOOKUP(B25,Items!$A$616:$X$640,24,FALSE)&lt;&gt;0,VLOOKUP(B25,Items!$A$616:$X$640,24,FALSE),""),"")</f>
        <v/>
      </c>
      <c r="L25" s="266"/>
      <c r="M25" s="248"/>
      <c r="N25" s="248"/>
      <c r="O25" s="266"/>
      <c r="P25" s="264"/>
      <c r="Q25" s="267"/>
    </row>
    <row r="26" spans="1:17" hidden="1">
      <c r="A26" s="261" t="s">
        <v>1147</v>
      </c>
      <c r="B26" s="262"/>
      <c r="C26" s="249" t="str">
        <f>IF(B26&lt;&gt;"",VLOOKUP(B26,Items!$A$616:$X$640,15,FALSE),"")</f>
        <v/>
      </c>
      <c r="D26" s="249" t="str">
        <f>IF(B26&lt;&gt;"",VLOOKUP(B26,Items!$A$616:$X$640,16,FALSE),"")</f>
        <v/>
      </c>
      <c r="E26" s="263" t="str">
        <f>IF(B26&lt;&gt;"",VLOOKUP(B26,Items!$A$616:$X$640,17,FALSE),"")</f>
        <v/>
      </c>
      <c r="F26" s="264" t="str">
        <f>IF(B26&lt;&gt;"",IF(VLOOKUP(B26,Items!$A$616:$X$640,19,FALSE)&lt;&gt;0,VLOOKUP(B26,Items!$A$616:$X$640,19,FALSE),""),"")</f>
        <v/>
      </c>
      <c r="G26" s="265" t="str">
        <f>IF(B26&lt;&gt;"",IF(VLOOKUP(B26,Items!$A$616:$X$640,20,FALSE)&lt;&gt;0,VLOOKUP(B26,Items!$A$616:$X$640,20,FALSE),""),"")</f>
        <v/>
      </c>
      <c r="H26" s="248" t="str">
        <f>IF(B26&lt;&gt;"",IF(VLOOKUP(B26,Items!$A$616:$X$640,21,FALSE)&lt;&gt;0,VLOOKUP(B26,Items!$A$616:$X$640,21,FALSE),""),"")</f>
        <v/>
      </c>
      <c r="I26" s="266" t="str">
        <f>IF(B26&lt;&gt;"",IF(VLOOKUP(B26,Items!$A$616:$X$640,22,FALSE)&lt;&gt;0,VLOOKUP(B26,Items!$A$616:$X$640,22,FALSE),""),"")</f>
        <v/>
      </c>
      <c r="J26" s="248" t="str">
        <f>IF(B26&lt;&gt;"",IF(VLOOKUP(B26,Items!$A$616:$X$640,23,FALSE)&lt;&gt;0,VLOOKUP(B26,Items!$A$616:$X$640,23,FALSE),""),"")</f>
        <v/>
      </c>
      <c r="K26" s="267" t="str">
        <f>IF(B26&lt;&gt;"",IF(VLOOKUP(B26,Items!$A$616:$X$640,24,FALSE)&lt;&gt;0,VLOOKUP(B26,Items!$A$616:$X$640,24,FALSE),""),"")</f>
        <v/>
      </c>
      <c r="L26" s="266"/>
      <c r="M26" s="248"/>
      <c r="N26" s="248"/>
      <c r="O26" s="266"/>
      <c r="P26" s="264"/>
      <c r="Q26" s="267"/>
    </row>
    <row r="27" spans="1:17" hidden="1">
      <c r="A27" s="261" t="s">
        <v>1148</v>
      </c>
      <c r="B27" s="262"/>
      <c r="C27" s="249" t="str">
        <f>IF(B27&lt;&gt;"",VLOOKUP(B27,Items!$A$616:$X$640,15,FALSE),"")</f>
        <v/>
      </c>
      <c r="D27" s="249" t="str">
        <f>IF(B27&lt;&gt;"",VLOOKUP(B27,Items!$A$616:$X$640,16,FALSE),"")</f>
        <v/>
      </c>
      <c r="E27" s="263" t="str">
        <f>IF(B27&lt;&gt;"",VLOOKUP(B27,Items!$A$616:$X$640,17,FALSE),"")</f>
        <v/>
      </c>
      <c r="F27" s="264" t="str">
        <f>IF(B27&lt;&gt;"",IF(VLOOKUP(B27,Items!$A$616:$X$640,19,FALSE)&lt;&gt;0,VLOOKUP(B27,Items!$A$616:$X$640,19,FALSE),""),"")</f>
        <v/>
      </c>
      <c r="G27" s="265" t="str">
        <f>IF(B27&lt;&gt;"",IF(VLOOKUP(B27,Items!$A$616:$X$640,20,FALSE)&lt;&gt;0,VLOOKUP(B27,Items!$A$616:$X$640,20,FALSE),""),"")</f>
        <v/>
      </c>
      <c r="H27" s="248" t="str">
        <f>IF(B27&lt;&gt;"",IF(VLOOKUP(B27,Items!$A$616:$X$640,21,FALSE)&lt;&gt;0,VLOOKUP(B27,Items!$A$616:$X$640,21,FALSE),""),"")</f>
        <v/>
      </c>
      <c r="I27" s="266" t="str">
        <f>IF(B27&lt;&gt;"",IF(VLOOKUP(B27,Items!$A$616:$X$640,22,FALSE)&lt;&gt;0,VLOOKUP(B27,Items!$A$616:$X$640,22,FALSE),""),"")</f>
        <v/>
      </c>
      <c r="J27" s="248" t="str">
        <f>IF(B27&lt;&gt;"",IF(VLOOKUP(B27,Items!$A$616:$X$640,23,FALSE)&lt;&gt;0,VLOOKUP(B27,Items!$A$616:$X$640,23,FALSE),""),"")</f>
        <v/>
      </c>
      <c r="K27" s="267" t="str">
        <f>IF(B27&lt;&gt;"",IF(VLOOKUP(B27,Items!$A$616:$X$640,24,FALSE)&lt;&gt;0,VLOOKUP(B27,Items!$A$616:$X$640,24,FALSE),""),"")</f>
        <v/>
      </c>
      <c r="L27" s="266"/>
      <c r="M27" s="248"/>
      <c r="N27" s="248"/>
      <c r="O27" s="266"/>
      <c r="P27" s="264"/>
      <c r="Q27" s="267"/>
    </row>
    <row r="28" spans="1:17" hidden="1">
      <c r="A28" s="261" t="s">
        <v>1149</v>
      </c>
      <c r="B28" s="262"/>
      <c r="C28" s="249" t="str">
        <f>IF(B28&lt;&gt;"",VLOOKUP(B28,Items!$A$616:$X$640,15,FALSE),"")</f>
        <v/>
      </c>
      <c r="D28" s="249" t="str">
        <f>IF(B28&lt;&gt;"",VLOOKUP(B28,Items!$A$616:$X$640,16,FALSE),"")</f>
        <v/>
      </c>
      <c r="E28" s="263" t="str">
        <f>IF(B28&lt;&gt;"",VLOOKUP(B28,Items!$A$616:$X$640,17,FALSE),"")</f>
        <v/>
      </c>
      <c r="F28" s="264" t="str">
        <f>IF(B28&lt;&gt;"",IF(VLOOKUP(B28,Items!$A$616:$X$640,19,FALSE)&lt;&gt;0,VLOOKUP(B28,Items!$A$616:$X$640,19,FALSE),""),"")</f>
        <v/>
      </c>
      <c r="G28" s="265" t="str">
        <f>IF(B28&lt;&gt;"",IF(VLOOKUP(B28,Items!$A$616:$X$640,20,FALSE)&lt;&gt;0,VLOOKUP(B28,Items!$A$616:$X$640,20,FALSE),""),"")</f>
        <v/>
      </c>
      <c r="H28" s="248" t="str">
        <f>IF(B28&lt;&gt;"",IF(VLOOKUP(B28,Items!$A$616:$X$640,21,FALSE)&lt;&gt;0,VLOOKUP(B28,Items!$A$616:$X$640,21,FALSE),""),"")</f>
        <v/>
      </c>
      <c r="I28" s="266" t="str">
        <f>IF(B28&lt;&gt;"",IF(VLOOKUP(B28,Items!$A$616:$X$640,22,FALSE)&lt;&gt;0,VLOOKUP(B28,Items!$A$616:$X$640,22,FALSE),""),"")</f>
        <v/>
      </c>
      <c r="J28" s="248" t="str">
        <f>IF(B28&lt;&gt;"",IF(VLOOKUP(B28,Items!$A$616:$X$640,23,FALSE)&lt;&gt;0,VLOOKUP(B28,Items!$A$616:$X$640,23,FALSE),""),"")</f>
        <v/>
      </c>
      <c r="K28" s="267" t="str">
        <f>IF(B28&lt;&gt;"",IF(VLOOKUP(B28,Items!$A$616:$X$640,24,FALSE)&lt;&gt;0,VLOOKUP(B28,Items!$A$616:$X$640,24,FALSE),""),"")</f>
        <v/>
      </c>
      <c r="L28" s="266"/>
      <c r="M28" s="248"/>
      <c r="N28" s="248"/>
      <c r="O28" s="266"/>
      <c r="P28" s="264"/>
      <c r="Q28" s="267"/>
    </row>
    <row r="29" spans="1:17" hidden="1">
      <c r="A29" s="261" t="s">
        <v>1150</v>
      </c>
      <c r="B29" s="262"/>
      <c r="C29" s="249" t="str">
        <f>IF(B29&lt;&gt;"",VLOOKUP(B29,Items!$A$616:$X$640,15,FALSE),"")</f>
        <v/>
      </c>
      <c r="D29" s="249" t="str">
        <f>IF(B29&lt;&gt;"",VLOOKUP(B29,Items!$A$616:$X$640,16,FALSE),"")</f>
        <v/>
      </c>
      <c r="E29" s="263" t="str">
        <f>IF(B29&lt;&gt;"",VLOOKUP(B29,Items!$A$616:$X$640,17,FALSE),"")</f>
        <v/>
      </c>
      <c r="F29" s="264" t="str">
        <f>IF(B29&lt;&gt;"",IF(VLOOKUP(B29,Items!$A$616:$X$640,19,FALSE)&lt;&gt;0,VLOOKUP(B29,Items!$A$616:$X$640,19,FALSE),""),"")</f>
        <v/>
      </c>
      <c r="G29" s="265" t="str">
        <f>IF(B29&lt;&gt;"",IF(VLOOKUP(B29,Items!$A$616:$X$640,20,FALSE)&lt;&gt;0,VLOOKUP(B29,Items!$A$616:$X$640,20,FALSE),""),"")</f>
        <v/>
      </c>
      <c r="H29" s="248" t="str">
        <f>IF(B29&lt;&gt;"",IF(VLOOKUP(B29,Items!$A$616:$X$640,21,FALSE)&lt;&gt;0,VLOOKUP(B29,Items!$A$616:$X$640,21,FALSE),""),"")</f>
        <v/>
      </c>
      <c r="I29" s="266" t="str">
        <f>IF(B29&lt;&gt;"",IF(VLOOKUP(B29,Items!$A$616:$X$640,22,FALSE)&lt;&gt;0,VLOOKUP(B29,Items!$A$616:$X$640,22,FALSE),""),"")</f>
        <v/>
      </c>
      <c r="J29" s="248" t="str">
        <f>IF(B29&lt;&gt;"",IF(VLOOKUP(B29,Items!$A$616:$X$640,23,FALSE)&lt;&gt;0,VLOOKUP(B29,Items!$A$616:$X$640,23,FALSE),""),"")</f>
        <v/>
      </c>
      <c r="K29" s="267" t="str">
        <f>IF(B29&lt;&gt;"",IF(VLOOKUP(B29,Items!$A$616:$X$640,24,FALSE)&lt;&gt;0,VLOOKUP(B29,Items!$A$616:$X$640,24,FALSE),""),"")</f>
        <v/>
      </c>
      <c r="L29" s="266"/>
      <c r="M29" s="248"/>
      <c r="N29" s="248"/>
      <c r="O29" s="266"/>
      <c r="P29" s="264"/>
      <c r="Q29" s="267"/>
    </row>
    <row r="30" spans="1:17" hidden="1">
      <c r="A30" s="261" t="s">
        <v>1151</v>
      </c>
      <c r="B30" s="262"/>
      <c r="C30" s="249" t="str">
        <f>IF(B30&lt;&gt;"",VLOOKUP(B30,Items!$A$616:$X$640,15,FALSE),"")</f>
        <v/>
      </c>
      <c r="D30" s="249" t="str">
        <f>IF(B30&lt;&gt;"",VLOOKUP(B30,Items!$A$616:$X$640,16,FALSE),"")</f>
        <v/>
      </c>
      <c r="E30" s="263" t="str">
        <f>IF(B30&lt;&gt;"",VLOOKUP(B30,Items!$A$616:$X$640,17,FALSE),"")</f>
        <v/>
      </c>
      <c r="F30" s="264" t="str">
        <f>IF(B30&lt;&gt;"",IF(VLOOKUP(B30,Items!$A$616:$X$640,19,FALSE)&lt;&gt;0,VLOOKUP(B30,Items!$A$616:$X$640,19,FALSE),""),"")</f>
        <v/>
      </c>
      <c r="G30" s="265" t="str">
        <f>IF(B30&lt;&gt;"",IF(VLOOKUP(B30,Items!$A$616:$X$640,20,FALSE)&lt;&gt;0,VLOOKUP(B30,Items!$A$616:$X$640,20,FALSE),""),"")</f>
        <v/>
      </c>
      <c r="H30" s="248" t="str">
        <f>IF(B30&lt;&gt;"",IF(VLOOKUP(B30,Items!$A$616:$X$640,21,FALSE)&lt;&gt;0,VLOOKUP(B30,Items!$A$616:$X$640,21,FALSE),""),"")</f>
        <v/>
      </c>
      <c r="I30" s="266" t="str">
        <f>IF(B30&lt;&gt;"",IF(VLOOKUP(B30,Items!$A$616:$X$640,22,FALSE)&lt;&gt;0,VLOOKUP(B30,Items!$A$616:$X$640,22,FALSE),""),"")</f>
        <v/>
      </c>
      <c r="J30" s="248" t="str">
        <f>IF(B30&lt;&gt;"",IF(VLOOKUP(B30,Items!$A$616:$X$640,23,FALSE)&lt;&gt;0,VLOOKUP(B30,Items!$A$616:$X$640,23,FALSE),""),"")</f>
        <v/>
      </c>
      <c r="K30" s="267" t="str">
        <f>IF(B30&lt;&gt;"",IF(VLOOKUP(B30,Items!$A$616:$X$640,24,FALSE)&lt;&gt;0,VLOOKUP(B30,Items!$A$616:$X$640,24,FALSE),""),"")</f>
        <v/>
      </c>
      <c r="L30" s="266"/>
      <c r="M30" s="248"/>
      <c r="N30" s="248"/>
      <c r="O30" s="266"/>
      <c r="P30" s="264"/>
      <c r="Q30" s="267"/>
    </row>
    <row r="31" spans="1:17">
      <c r="A31" s="247" t="s">
        <v>633</v>
      </c>
      <c r="B31" s="271">
        <f>F31*100+C32+D32+E32+1</f>
        <v>6</v>
      </c>
      <c r="C31" s="249"/>
      <c r="D31" s="249"/>
      <c r="E31" s="272"/>
      <c r="F31" s="266">
        <v>0.02</v>
      </c>
      <c r="G31" s="248" t="str">
        <f>VLOOKUP(B2,Misc!$AA$38:$AE$46,2,FALSE)</f>
        <v>Fight</v>
      </c>
      <c r="H31" s="273" t="s">
        <v>572</v>
      </c>
      <c r="I31" s="266"/>
      <c r="J31" s="248"/>
      <c r="K31" s="267"/>
      <c r="L31" s="247"/>
      <c r="M31" s="249"/>
      <c r="N31" s="248"/>
      <c r="O31" s="274"/>
      <c r="P31" s="248"/>
      <c r="Q31" s="267"/>
    </row>
    <row r="32" spans="1:17">
      <c r="A32" s="247" t="s">
        <v>632</v>
      </c>
      <c r="C32" s="275">
        <v>3</v>
      </c>
      <c r="D32" s="275">
        <v>0</v>
      </c>
      <c r="E32" s="275">
        <v>0</v>
      </c>
      <c r="F32" s="276"/>
      <c r="G32" s="248"/>
      <c r="H32" s="248"/>
      <c r="I32" s="277"/>
      <c r="J32" s="248"/>
      <c r="K32" s="267"/>
      <c r="L32" s="323"/>
      <c r="M32" s="324"/>
      <c r="N32" s="278" t="s">
        <v>561</v>
      </c>
      <c r="O32" s="279" t="s">
        <v>562</v>
      </c>
      <c r="P32" s="280" t="s">
        <v>563</v>
      </c>
      <c r="Q32" s="281"/>
    </row>
    <row r="33" spans="1:17">
      <c r="A33" s="270" t="s">
        <v>634</v>
      </c>
      <c r="B33" s="248"/>
      <c r="C33" s="249">
        <f>C32*2+SUM(C3:C8)</f>
        <v>6</v>
      </c>
      <c r="D33" s="249">
        <f>D32*2+SUM(D3:D8)</f>
        <v>0</v>
      </c>
      <c r="E33" s="249">
        <f>E32*2+SUM(E3:E8)</f>
        <v>0</v>
      </c>
      <c r="F33" s="282" t="s">
        <v>818</v>
      </c>
      <c r="G33" s="283" t="str">
        <f>convertPercentage(F3:Q31,"Fight",IF(L32="",'Stats Scores'!$AP$2,L32))</f>
        <v>2%</v>
      </c>
      <c r="H33" s="284" t="s">
        <v>825</v>
      </c>
      <c r="I33" s="283" t="str">
        <f>convertPercentage(F3:Q31,"Barter",IF(L32="",'Stats Scores'!$AP$2,L32))</f>
        <v>0%</v>
      </c>
      <c r="J33" s="258" t="s">
        <v>827</v>
      </c>
      <c r="K33" s="285" t="str">
        <f>convertPercentage(F3:Q31,"Spy",IF(L32="",'Stats Scores'!$AP$2,L32))</f>
        <v>0%</v>
      </c>
      <c r="L33" s="325" t="s">
        <v>819</v>
      </c>
      <c r="M33" s="326"/>
      <c r="N33" s="286">
        <f>ROUNDUP(getscore(C35,G33,"Fight",L32),0)</f>
        <v>17</v>
      </c>
      <c r="O33" s="286">
        <f>ROUNDUP(getscore(D35,I33,"Barter",L32),0)</f>
        <v>13</v>
      </c>
      <c r="P33" s="287">
        <f>ROUNDUP(getscore(E35,K33,"Spy",L32),0)</f>
        <v>10</v>
      </c>
      <c r="Q33" s="288"/>
    </row>
    <row r="34" spans="1:17">
      <c r="B34" s="273"/>
      <c r="C34" s="249"/>
      <c r="D34" s="249"/>
      <c r="E34" s="249"/>
      <c r="F34" s="282" t="s">
        <v>753</v>
      </c>
      <c r="G34" s="289" t="str">
        <f>convertPercentage(F3:Q31,"Harass",IF(L32="",'Stats Scores'!$AP$2,L32))</f>
        <v>0%</v>
      </c>
      <c r="H34" s="273" t="s">
        <v>829</v>
      </c>
      <c r="I34" s="289" t="str">
        <f>convertPercentage(F3:Q31,"Swindle",IF(L32="",'Stats Scores'!$AP$2,L32))</f>
        <v>0%</v>
      </c>
      <c r="J34" s="248" t="s">
        <v>828</v>
      </c>
      <c r="K34" s="290" t="str">
        <f>convertPercentage(F3:Q31,"Sabotage",IF(L32="",'Stats Scores'!$AP$2,L32))</f>
        <v>0%</v>
      </c>
      <c r="L34" s="325" t="s">
        <v>820</v>
      </c>
      <c r="M34" s="326"/>
      <c r="N34" s="286">
        <f>ROUNDUP(getscore(C35,G34,"Harass",L32),0)</f>
        <v>16</v>
      </c>
      <c r="O34" s="286">
        <f>ROUNDUP(getscore(D35,I34,"Swindle",L32),0)</f>
        <v>13</v>
      </c>
      <c r="P34" s="287">
        <f>ROUNDUP(getscore(E35,K34,"Sabotage",L32),0)</f>
        <v>10</v>
      </c>
      <c r="Q34" s="288"/>
    </row>
    <row r="35" spans="1:17">
      <c r="A35" s="291" t="s">
        <v>635</v>
      </c>
      <c r="B35" s="292"/>
      <c r="C35" s="293">
        <f>C9+C10+C17+C24+C33</f>
        <v>12</v>
      </c>
      <c r="D35" s="293">
        <f t="shared" ref="D35:E35" si="0">D9+D10+D17+D24+D33</f>
        <v>0</v>
      </c>
      <c r="E35" s="293">
        <f t="shared" si="0"/>
        <v>0</v>
      </c>
      <c r="F35" s="294" t="s">
        <v>824</v>
      </c>
      <c r="G35" s="295" t="str">
        <f>convertPercentage(F3:Q31,"Aid",IF(L32="",'Stats Scores'!$AP$2,L32))</f>
        <v>0%</v>
      </c>
      <c r="H35" s="292" t="s">
        <v>826</v>
      </c>
      <c r="I35" s="295" t="str">
        <f>convertPercentage(F3:Q31,"Bribe",IF(L32="",'Stats Scores'!$AP$2,L32))</f>
        <v>0%</v>
      </c>
      <c r="J35" s="292" t="s">
        <v>830</v>
      </c>
      <c r="K35" s="296" t="str">
        <f>convertPercentage(F3:Q31,"Steal",IF(L32="",'Stats Scores'!$AP$2,L32))</f>
        <v>0%</v>
      </c>
      <c r="L35" s="328" t="s">
        <v>821</v>
      </c>
      <c r="M35" s="329"/>
      <c r="N35" s="297">
        <f>ROUNDUP(getscore(C35,G35,"Aid",L32),0)</f>
        <v>16</v>
      </c>
      <c r="O35" s="297">
        <f>ROUNDUP(getscore(D35,I35,"Bribe",L32),0)</f>
        <v>18</v>
      </c>
      <c r="P35" s="298">
        <f>ROUNDUP(getscore(E35,K35,"Steal",L32),0)</f>
        <v>10</v>
      </c>
      <c r="Q35" s="299"/>
    </row>
    <row r="36" spans="1:17">
      <c r="A36" s="300"/>
      <c r="B36" s="248"/>
      <c r="C36" s="249"/>
      <c r="D36" s="249"/>
      <c r="E36" s="249"/>
      <c r="F36" s="301"/>
      <c r="G36" s="289"/>
      <c r="H36" s="248"/>
      <c r="I36" s="289"/>
      <c r="J36" s="248"/>
      <c r="K36" s="289"/>
      <c r="L36" s="302"/>
      <c r="M36" s="302"/>
      <c r="N36" s="286"/>
      <c r="O36" s="286"/>
      <c r="P36" s="286"/>
      <c r="Q36" s="248"/>
    </row>
    <row r="37" spans="1:17" ht="23.25" customHeight="1">
      <c r="A37" s="309" t="s">
        <v>1213</v>
      </c>
      <c r="B37" s="253" t="s">
        <v>1020</v>
      </c>
      <c r="C37" s="303"/>
      <c r="D37" s="304"/>
      <c r="E37" s="305"/>
      <c r="F37" s="257"/>
      <c r="G37" s="258"/>
      <c r="H37" s="258"/>
      <c r="I37" s="259"/>
      <c r="J37" s="258"/>
      <c r="K37" s="260"/>
      <c r="L37" s="259"/>
      <c r="M37" s="258"/>
      <c r="N37" s="258"/>
      <c r="O37" s="259"/>
      <c r="P37" s="258"/>
      <c r="Q37" s="260"/>
    </row>
    <row r="38" spans="1:17" hidden="1">
      <c r="A38" s="261" t="s">
        <v>1146</v>
      </c>
      <c r="B38" s="262"/>
      <c r="C38" s="249" t="str">
        <f>IF(B38&lt;&gt;"",VLOOKUP(B38,Items!$A$616:$X$640,15,FALSE),"")</f>
        <v/>
      </c>
      <c r="D38" s="249" t="str">
        <f>IF(B38&lt;&gt;"",VLOOKUP(B38,Items!$A$616:$X$640,16,FALSE),"")</f>
        <v/>
      </c>
      <c r="E38" s="263" t="str">
        <f>IF(B38&lt;&gt;"",VLOOKUP(B38,Items!$A$616:$X$640,17,FALSE),"")</f>
        <v/>
      </c>
      <c r="F38" s="264" t="str">
        <f>IF(B38&lt;&gt;"",IF(VLOOKUP(B38,Items!$A$616:$X$640,19,FALSE)&lt;&gt;0,VLOOKUP(B38,Items!$A$616:$X$640,19,FALSE),""),"")</f>
        <v/>
      </c>
      <c r="G38" s="265" t="str">
        <f>IF(B38&lt;&gt;"",IF(VLOOKUP(B38,Items!$A$616:$X$640,20,FALSE)&lt;&gt;0,VLOOKUP(B38,Items!$A$616:$X$640,20,FALSE),""),"")</f>
        <v/>
      </c>
      <c r="H38" s="248" t="str">
        <f>IF(B38&lt;&gt;"",IF(VLOOKUP(B38,Items!$A$616:$X$640,21,FALSE)&lt;&gt;0,VLOOKUP(B38,Items!$A$616:$X$640,21,FALSE),""),"")</f>
        <v/>
      </c>
      <c r="I38" s="266" t="str">
        <f>IF(B38&lt;&gt;"",IF(VLOOKUP(B38,Items!$A$616:$X$640,22,FALSE)&lt;&gt;0,VLOOKUP(B38,Items!$A$616:$X$640,22,FALSE),""),"")</f>
        <v/>
      </c>
      <c r="J38" s="248" t="str">
        <f>IF(B38&lt;&gt;"",IF(VLOOKUP(B38,Items!$A$616:$X$640,23,FALSE)&lt;&gt;0,VLOOKUP(B38,Items!$A$616:$X$640,23,FALSE),""),"")</f>
        <v/>
      </c>
      <c r="K38" s="267" t="str">
        <f>IF(B38&lt;&gt;"",IF(VLOOKUP(B38,Items!$A$616:$X$640,24,FALSE)&lt;&gt;0,VLOOKUP(B38,Items!$A$616:$X$640,24,FALSE),""),"")</f>
        <v/>
      </c>
      <c r="L38" s="247"/>
      <c r="M38" s="248"/>
      <c r="N38" s="248"/>
      <c r="O38" s="247"/>
      <c r="P38" s="248"/>
      <c r="Q38" s="267"/>
    </row>
    <row r="39" spans="1:17" hidden="1">
      <c r="A39" s="261" t="s">
        <v>1147</v>
      </c>
      <c r="B39" s="262"/>
      <c r="C39" s="249" t="str">
        <f>IF(B39&lt;&gt;"",VLOOKUP(B39,Items!$A$616:$X$640,15,FALSE),"")</f>
        <v/>
      </c>
      <c r="D39" s="249" t="str">
        <f>IF(B39&lt;&gt;"",VLOOKUP(B39,Items!$A$616:$X$640,16,FALSE),"")</f>
        <v/>
      </c>
      <c r="E39" s="263" t="str">
        <f>IF(B39&lt;&gt;"",VLOOKUP(B39,Items!$A$616:$X$640,17,FALSE),"")</f>
        <v/>
      </c>
      <c r="F39" s="264" t="str">
        <f>IF(B39&lt;&gt;"",IF(VLOOKUP(B39,Items!$A$616:$X$640,19,FALSE)&lt;&gt;0,VLOOKUP(B39,Items!$A$616:$X$640,19,FALSE),""),"")</f>
        <v/>
      </c>
      <c r="G39" s="265" t="str">
        <f>IF(B39&lt;&gt;"",IF(VLOOKUP(B39,Items!$A$616:$X$640,20,FALSE)&lt;&gt;0,VLOOKUP(B39,Items!$A$616:$X$640,20,FALSE),""),"")</f>
        <v/>
      </c>
      <c r="H39" s="248" t="str">
        <f>IF(B39&lt;&gt;"",IF(VLOOKUP(B39,Items!$A$616:$X$640,21,FALSE)&lt;&gt;0,VLOOKUP(B39,Items!$A$616:$X$640,21,FALSE),""),"")</f>
        <v/>
      </c>
      <c r="I39" s="266" t="str">
        <f>IF(B39&lt;&gt;"",IF(VLOOKUP(B39,Items!$A$616:$X$640,22,FALSE)&lt;&gt;0,VLOOKUP(B39,Items!$A$616:$X$640,22,FALSE),""),"")</f>
        <v/>
      </c>
      <c r="J39" s="248" t="str">
        <f>IF(B39&lt;&gt;"",IF(VLOOKUP(B39,Items!$A$616:$X$640,23,FALSE)&lt;&gt;0,VLOOKUP(B39,Items!$A$616:$X$640,23,FALSE),""),"")</f>
        <v/>
      </c>
      <c r="K39" s="267" t="str">
        <f>IF(B39&lt;&gt;"",IF(VLOOKUP(B39,Items!$A$616:$X$640,24,FALSE)&lt;&gt;0,VLOOKUP(B39,Items!$A$616:$X$640,24,FALSE),""),"")</f>
        <v/>
      </c>
      <c r="L39" s="247"/>
      <c r="M39" s="248"/>
      <c r="N39" s="248"/>
      <c r="O39" s="247"/>
      <c r="P39" s="248"/>
      <c r="Q39" s="267"/>
    </row>
    <row r="40" spans="1:17" hidden="1">
      <c r="A40" s="261" t="s">
        <v>1148</v>
      </c>
      <c r="B40" s="262"/>
      <c r="C40" s="249" t="str">
        <f>IF(B40&lt;&gt;"",VLOOKUP(B40,Items!$A$616:$X$640,15,FALSE),"")</f>
        <v/>
      </c>
      <c r="D40" s="249" t="str">
        <f>IF(B40&lt;&gt;"",VLOOKUP(B40,Items!$A$616:$X$640,16,FALSE),"")</f>
        <v/>
      </c>
      <c r="E40" s="263" t="str">
        <f>IF(B40&lt;&gt;"",VLOOKUP(B40,Items!$A$616:$X$640,17,FALSE),"")</f>
        <v/>
      </c>
      <c r="F40" s="264" t="str">
        <f>IF(B40&lt;&gt;"",IF(VLOOKUP(B40,Items!$A$616:$X$640,19,FALSE)&lt;&gt;0,VLOOKUP(B40,Items!$A$616:$X$640,19,FALSE),""),"")</f>
        <v/>
      </c>
      <c r="G40" s="265" t="str">
        <f>IF(B40&lt;&gt;"",IF(VLOOKUP(B40,Items!$A$616:$X$640,20,FALSE)&lt;&gt;0,VLOOKUP(B40,Items!$A$616:$X$640,20,FALSE),""),"")</f>
        <v/>
      </c>
      <c r="H40" s="248" t="str">
        <f>IF(B40&lt;&gt;"",IF(VLOOKUP(B40,Items!$A$616:$X$640,21,FALSE)&lt;&gt;0,VLOOKUP(B40,Items!$A$616:$X$640,21,FALSE),""),"")</f>
        <v/>
      </c>
      <c r="I40" s="266" t="str">
        <f>IF(B40&lt;&gt;"",IF(VLOOKUP(B40,Items!$A$616:$X$640,22,FALSE)&lt;&gt;0,VLOOKUP(B40,Items!$A$616:$X$640,22,FALSE),""),"")</f>
        <v/>
      </c>
      <c r="J40" s="248" t="str">
        <f>IF(B40&lt;&gt;"",IF(VLOOKUP(B40,Items!$A$616:$X$640,23,FALSE)&lt;&gt;0,VLOOKUP(B40,Items!$A$616:$X$640,23,FALSE),""),"")</f>
        <v/>
      </c>
      <c r="K40" s="267" t="str">
        <f>IF(B40&lt;&gt;"",IF(VLOOKUP(B40,Items!$A$616:$X$640,24,FALSE)&lt;&gt;0,VLOOKUP(B40,Items!$A$616:$X$640,24,FALSE),""),"")</f>
        <v/>
      </c>
      <c r="L40" s="247"/>
      <c r="M40" s="248"/>
      <c r="N40" s="248"/>
      <c r="O40" s="247"/>
      <c r="P40" s="248"/>
      <c r="Q40" s="267"/>
    </row>
    <row r="41" spans="1:17" hidden="1">
      <c r="A41" s="261" t="s">
        <v>1149</v>
      </c>
      <c r="B41" s="262"/>
      <c r="C41" s="249" t="str">
        <f>IF(B41&lt;&gt;"",VLOOKUP(B41,Items!$A$616:$X$640,15,FALSE),"")</f>
        <v/>
      </c>
      <c r="D41" s="249" t="str">
        <f>IF(B41&lt;&gt;"",VLOOKUP(B41,Items!$A$616:$X$640,16,FALSE),"")</f>
        <v/>
      </c>
      <c r="E41" s="263" t="str">
        <f>IF(B41&lt;&gt;"",VLOOKUP(B41,Items!$A$616:$X$640,17,FALSE),"")</f>
        <v/>
      </c>
      <c r="F41" s="264" t="str">
        <f>IF(B41&lt;&gt;"",IF(VLOOKUP(B41,Items!$A$616:$X$640,19,FALSE)&lt;&gt;0,VLOOKUP(B41,Items!$A$616:$X$640,19,FALSE),""),"")</f>
        <v/>
      </c>
      <c r="G41" s="265" t="str">
        <f>IF(B41&lt;&gt;"",IF(VLOOKUP(B41,Items!$A$616:$X$640,20,FALSE)&lt;&gt;0,VLOOKUP(B41,Items!$A$616:$X$640,20,FALSE),""),"")</f>
        <v/>
      </c>
      <c r="H41" s="248" t="str">
        <f>IF(B41&lt;&gt;"",IF(VLOOKUP(B41,Items!$A$616:$X$640,21,FALSE)&lt;&gt;0,VLOOKUP(B41,Items!$A$616:$X$640,21,FALSE),""),"")</f>
        <v/>
      </c>
      <c r="I41" s="266" t="str">
        <f>IF(B41&lt;&gt;"",IF(VLOOKUP(B41,Items!$A$616:$X$640,22,FALSE)&lt;&gt;0,VLOOKUP(B41,Items!$A$616:$X$640,22,FALSE),""),"")</f>
        <v/>
      </c>
      <c r="J41" s="248" t="str">
        <f>IF(B41&lt;&gt;"",IF(VLOOKUP(B41,Items!$A$616:$X$640,23,FALSE)&lt;&gt;0,VLOOKUP(B41,Items!$A$616:$X$640,23,FALSE),""),"")</f>
        <v/>
      </c>
      <c r="K41" s="267" t="str">
        <f>IF(B41&lt;&gt;"",IF(VLOOKUP(B41,Items!$A$616:$X$640,24,FALSE)&lt;&gt;0,VLOOKUP(B41,Items!$A$616:$X$640,24,FALSE),""),"")</f>
        <v/>
      </c>
      <c r="L41" s="247"/>
      <c r="M41" s="248"/>
      <c r="N41" s="248"/>
      <c r="O41" s="247"/>
      <c r="P41" s="248"/>
      <c r="Q41" s="267"/>
    </row>
    <row r="42" spans="1:17" hidden="1">
      <c r="A42" s="261" t="s">
        <v>1150</v>
      </c>
      <c r="B42" s="262"/>
      <c r="C42" s="249" t="str">
        <f>IF(B42&lt;&gt;"",VLOOKUP(B42,Items!$A$616:$X$640,15,FALSE),"")</f>
        <v/>
      </c>
      <c r="D42" s="249" t="str">
        <f>IF(B42&lt;&gt;"",VLOOKUP(B42,Items!$A$616:$X$640,16,FALSE),"")</f>
        <v/>
      </c>
      <c r="E42" s="263" t="str">
        <f>IF(B42&lt;&gt;"",VLOOKUP(B42,Items!$A$616:$X$640,17,FALSE),"")</f>
        <v/>
      </c>
      <c r="F42" s="264" t="str">
        <f>IF(B42&lt;&gt;"",IF(VLOOKUP(B42,Items!$A$616:$X$640,19,FALSE)&lt;&gt;0,VLOOKUP(B42,Items!$A$616:$X$640,19,FALSE),""),"")</f>
        <v/>
      </c>
      <c r="G42" s="265" t="str">
        <f>IF(B42&lt;&gt;"",IF(VLOOKUP(B42,Items!$A$616:$X$640,20,FALSE)&lt;&gt;0,VLOOKUP(B42,Items!$A$616:$X$640,20,FALSE),""),"")</f>
        <v/>
      </c>
      <c r="H42" s="248" t="str">
        <f>IF(B42&lt;&gt;"",IF(VLOOKUP(B42,Items!$A$616:$X$640,21,FALSE)&lt;&gt;0,VLOOKUP(B42,Items!$A$616:$X$640,21,FALSE),""),"")</f>
        <v/>
      </c>
      <c r="I42" s="266" t="str">
        <f>IF(B42&lt;&gt;"",IF(VLOOKUP(B42,Items!$A$616:$X$640,22,FALSE)&lt;&gt;0,VLOOKUP(B42,Items!$A$616:$X$640,22,FALSE),""),"")</f>
        <v/>
      </c>
      <c r="J42" s="248" t="str">
        <f>IF(B42&lt;&gt;"",IF(VLOOKUP(B42,Items!$A$616:$X$640,23,FALSE)&lt;&gt;0,VLOOKUP(B42,Items!$A$616:$X$640,23,FALSE),""),"")</f>
        <v/>
      </c>
      <c r="K42" s="267" t="str">
        <f>IF(B42&lt;&gt;"",IF(VLOOKUP(B42,Items!$A$616:$X$640,24,FALSE)&lt;&gt;0,VLOOKUP(B42,Items!$A$616:$X$640,24,FALSE),""),"")</f>
        <v/>
      </c>
      <c r="L42" s="247"/>
      <c r="M42" s="248"/>
      <c r="N42" s="248"/>
      <c r="O42" s="247"/>
      <c r="P42" s="248"/>
      <c r="Q42" s="267"/>
    </row>
    <row r="43" spans="1:17" hidden="1">
      <c r="A43" s="261" t="s">
        <v>1151</v>
      </c>
      <c r="B43" s="262"/>
      <c r="C43" s="249" t="str">
        <f>IF(B43&lt;&gt;"",VLOOKUP(B43,Items!$A$616:$X$640,15,FALSE),"")</f>
        <v/>
      </c>
      <c r="D43" s="249" t="str">
        <f>IF(B43&lt;&gt;"",VLOOKUP(B43,Items!$A$616:$X$640,16,FALSE),"")</f>
        <v/>
      </c>
      <c r="E43" s="263" t="str">
        <f>IF(B43&lt;&gt;"",VLOOKUP(B43,Items!$A$616:$X$640,17,FALSE),"")</f>
        <v/>
      </c>
      <c r="F43" s="264" t="str">
        <f>IF(B43&lt;&gt;"",IF(VLOOKUP(B43,Items!$A$616:$X$640,19,FALSE)&lt;&gt;0,VLOOKUP(B43,Items!$A$616:$X$640,19,FALSE),""),"")</f>
        <v/>
      </c>
      <c r="G43" s="265" t="str">
        <f>IF(B43&lt;&gt;"",IF(VLOOKUP(B43,Items!$A$616:$X$640,20,FALSE)&lt;&gt;0,VLOOKUP(B43,Items!$A$616:$X$640,20,FALSE),""),"")</f>
        <v/>
      </c>
      <c r="H43" s="248" t="str">
        <f>IF(B43&lt;&gt;"",IF(VLOOKUP(B43,Items!$A$616:$X$640,21,FALSE)&lt;&gt;0,VLOOKUP(B43,Items!$A$616:$X$640,21,FALSE),""),"")</f>
        <v/>
      </c>
      <c r="I43" s="266" t="str">
        <f>IF(B43&lt;&gt;"",IF(VLOOKUP(B43,Items!$A$616:$X$640,22,FALSE)&lt;&gt;0,VLOOKUP(B43,Items!$A$616:$X$640,22,FALSE),""),"")</f>
        <v/>
      </c>
      <c r="J43" s="248" t="str">
        <f>IF(B43&lt;&gt;"",IF(VLOOKUP(B43,Items!$A$616:$X$640,23,FALSE)&lt;&gt;0,VLOOKUP(B43,Items!$A$616:$X$640,23,FALSE),""),"")</f>
        <v/>
      </c>
      <c r="K43" s="267" t="str">
        <f>IF(B43&lt;&gt;"",IF(VLOOKUP(B43,Items!$A$616:$X$640,24,FALSE)&lt;&gt;0,VLOOKUP(B43,Items!$A$616:$X$640,24,FALSE),""),"")</f>
        <v/>
      </c>
      <c r="L43" s="247"/>
      <c r="M43" s="248"/>
      <c r="N43" s="248"/>
      <c r="O43" s="247"/>
      <c r="P43" s="248"/>
      <c r="Q43" s="267"/>
    </row>
    <row r="44" spans="1:17">
      <c r="A44" s="247" t="s">
        <v>631</v>
      </c>
      <c r="B44" s="262"/>
      <c r="C44" s="249">
        <v>1</v>
      </c>
      <c r="D44" s="249">
        <v>0</v>
      </c>
      <c r="E44" s="249">
        <v>0</v>
      </c>
      <c r="F44" s="266"/>
      <c r="G44" s="248"/>
      <c r="H44" s="248"/>
      <c r="I44" s="247"/>
      <c r="J44" s="248"/>
      <c r="K44" s="267"/>
      <c r="L44" s="247"/>
      <c r="M44" s="249"/>
      <c r="N44" s="248"/>
      <c r="O44" s="266"/>
      <c r="P44" s="249"/>
      <c r="Q44" s="267"/>
    </row>
    <row r="45" spans="1:17">
      <c r="A45" s="247" t="s">
        <v>565</v>
      </c>
      <c r="B45" s="262" t="s">
        <v>1214</v>
      </c>
      <c r="C45" s="249">
        <f>IF(convertString(B45, "prefix")&lt;&gt;"",VLOOKUP(convertString(B45, "prefix"),Items!$A$544:$Z$612,15,FALSE),0) + IF(convertString(B45, "item")&lt;&gt;"",VLOOKUP(convertString(B45, "item"),Items!$A$14:$X$432,15,FALSE),0) + IF(convertString(B45, "suffix")&lt;&gt;"",VLOOKUP(convertString(B45, "suffix"),Items!$A$544:$Z$612,15,FALSE),0) + SUM(C46:C51)</f>
        <v>3</v>
      </c>
      <c r="D45" s="249">
        <f>IF(convertString(B45, "prefix")&lt;&gt;"",VLOOKUP(convertString(B45, "prefix"),Items!$A$544:$Z$612,16,FALSE),0) + IF(convertString(B45, "item")&lt;&gt;"",VLOOKUP(convertString(B45, "item"),Items!$A$14:$X$432,16,FALSE),0) + IF(convertString(B45, "suffix")&lt;&gt;"",VLOOKUP(convertString(B45, "suffix"),Items!$A$544:$Z$612,16,FALSE),0)+SUM(D46:D51)</f>
        <v>0</v>
      </c>
      <c r="E45" s="249">
        <f>IF(convertString(B45, "prefix")&lt;&gt;"",VLOOKUP(convertString(B45, "prefix"),Items!$A$544:$Z$612,17,FALSE),0) + IF(convertString(B45, "item")&lt;&gt;"",VLOOKUP(convertString(B45, "item"),Items!$A$14:$X$432,17,FALSE),0) + IF(convertString(B45, "suffix")&lt;&gt;"",VLOOKUP(convertString(B45, "suffix"),Items!$A$544:$Z$612,17,FALSE),0)+SUM(E46:E51)</f>
        <v>0</v>
      </c>
      <c r="F45" s="266" t="str">
        <f>IF(VLOOKUP(convertString(B45, "item"),Items!$A$14:$X$432,19,FALSE)&lt;&gt;"",VLOOKUP(convertString(B45, "item"),Items!$A$14:$X$432,19,FALSE),"")</f>
        <v/>
      </c>
      <c r="G45" s="269" t="str">
        <f>IF(VLOOKUP(convertString(B45, "item"),Items!$A$14:$X$432,20,FALSE)&lt;&gt;0,VLOOKUP(convertString(B45, "item"),Items!$A$14:$X$432,20,FALSE),"")</f>
        <v/>
      </c>
      <c r="H45" s="248" t="str">
        <f>IF(VLOOKUP(convertString(B45, "item"),Items!$A$14:$X$432,21,FALSE)&lt;&gt;"",VLOOKUP(convertString(B45, "item"),Items!$A$14:$X$432,21,FALSE),"")</f>
        <v/>
      </c>
      <c r="I45" s="266" t="str">
        <f>IF(VLOOKUP(convertString(B45, "item"),Items!$A$14:$X$432,22,FALSE)&lt;&gt;"",VLOOKUP(convertString(B45, "item"),Items!$A$14:$X$432,22,FALSE),"")</f>
        <v/>
      </c>
      <c r="J45" s="265" t="str">
        <f>IF(VLOOKUP(convertString(B45, "item"),Items!$A$14:$X$432,23,FALSE)&lt;&gt;"",VLOOKUP(convertString(B45, "item"),Items!$A$14:$X$432,23,FALSE),"")</f>
        <v/>
      </c>
      <c r="K45" s="248" t="str">
        <f>IF(VLOOKUP(convertString(B45, "item"),Items!$A$14:$X$432,24,FALSE)&lt;&gt;"",VLOOKUP(convertString(B45, "item"),Items!$A$14:$X$432,24,FALSE),"")</f>
        <v/>
      </c>
      <c r="L45" s="266" t="str">
        <f>IF(IF(convertString(B45, "suffix")&lt;&gt;"",VLOOKUP(convertString(B45, "suffix"),Items!$A$544:$Z$612,19,FALSE),"")&lt;&gt;"",IF(convertString(B45, "suffix")&lt;&gt;"",VLOOKUP(convertString(B45, "suffix"),Items!$A$544:$Z$612,19,FALSE),""),"")</f>
        <v/>
      </c>
      <c r="M45" s="248" t="str">
        <f>IF(IF(convertString(B45, "suffix")&lt;&gt;"",VLOOKUP(convertString(B45, "suffix"),Items!$A$544:$Z$612,20,FALSE),"")&lt;&gt;"",IF(convertString(B45, "suffix")&lt;&gt;"",VLOOKUP(convertString(B45, "suffix"),Items!$A$544:$Z$612,20,FALSE),""),"")</f>
        <v/>
      </c>
      <c r="N45" s="248" t="str">
        <f>IF(IF(convertString(B45, "suffix")&lt;&gt;"",VLOOKUP(convertString(B45, "suffix"),Items!$A$544:$Z$612,21,FALSE),"")&lt;&gt;"",IF(convertString(B45, "suffix")&lt;&gt;"",VLOOKUP(convertString(B45, "suffix"),Items!$A$544:$Z$612,21,FALSE),""),"")</f>
        <v/>
      </c>
      <c r="O45" s="266" t="str">
        <f>IF(IF(convertString(B45, "prefix")&lt;&gt;"",VLOOKUP(convertString(B45, "prefix"),Items!$A$544:$Z$612,19,FALSE),"")&lt;&gt;"",IF(convertString(B45, "prefix")&lt;&gt;"",VLOOKUP(convertString(B45, "prefix"),Items!$A$544:$Z$612,19,FALSE),""),"")</f>
        <v/>
      </c>
      <c r="P45" s="264" t="str">
        <f>IF(IF(convertString(B45, "prefix")&lt;&gt;"",VLOOKUP(convertString(B45, "prefix"),Items!$A$544:$Z$612,20,FALSE),"")&lt;&gt;"",IF(convertString(B45, "prefix")&lt;&gt;"",VLOOKUP(convertString(B45, "prefix"),Items!$A$544:$Z$612,20,FALSE),""),"")</f>
        <v/>
      </c>
      <c r="Q45" s="267" t="str">
        <f>IF(IF(convertString(B45, "prefix")&lt;&gt;"",VLOOKUP(convertString(B45, "prefix"),Items!$A$544:$Z$612,21,FALSE),"")&lt;&gt;"",IF(convertString(B45, "prefix")&lt;&gt;"",VLOOKUP(convertString(B45, "prefix"),Items!$A$544:$Z$612,21,FALSE),""),"")</f>
        <v/>
      </c>
    </row>
    <row r="46" spans="1:17" hidden="1">
      <c r="A46" s="261" t="s">
        <v>1146</v>
      </c>
      <c r="B46" s="262"/>
      <c r="C46" s="249" t="str">
        <f>IF(B46&lt;&gt;"",VLOOKUP(B46,Items!$A$616:$X$640,15,FALSE),"")</f>
        <v/>
      </c>
      <c r="D46" s="249" t="str">
        <f>IF(B46&lt;&gt;"",VLOOKUP(B46,Items!$A$616:$X$640,16,FALSE),"")</f>
        <v/>
      </c>
      <c r="E46" s="263" t="str">
        <f>IF(B46&lt;&gt;"",VLOOKUP(B46,Items!$A$616:$X$640,17,FALSE),"")</f>
        <v/>
      </c>
      <c r="F46" s="264" t="str">
        <f>IF(B46&lt;&gt;"",IF(VLOOKUP(B46,Items!$A$616:$X$640,19,FALSE)&lt;&gt;0,VLOOKUP(B46,Items!$A$616:$X$640,19,FALSE),""),"")</f>
        <v/>
      </c>
      <c r="G46" s="265" t="str">
        <f>IF(B46&lt;&gt;"",IF(VLOOKUP(B46,Items!$A$616:$X$640,20,FALSE)&lt;&gt;0,VLOOKUP(B46,Items!$A$616:$X$640,20,FALSE),""),"")</f>
        <v/>
      </c>
      <c r="H46" s="248" t="str">
        <f>IF(B46&lt;&gt;"",IF(VLOOKUP(B46,Items!$A$616:$X$640,21,FALSE)&lt;&gt;0,VLOOKUP(B46,Items!$A$616:$X$640,21,FALSE),""),"")</f>
        <v/>
      </c>
      <c r="I46" s="266" t="str">
        <f>IF(B46&lt;&gt;"",IF(VLOOKUP(B46,Items!$A$616:$X$640,22,FALSE)&lt;&gt;0,VLOOKUP(B46,Items!$A$616:$X$640,22,FALSE),""),"")</f>
        <v/>
      </c>
      <c r="J46" s="248" t="str">
        <f>IF(B46&lt;&gt;"",IF(VLOOKUP(B46,Items!$A$616:$X$640,23,FALSE)&lt;&gt;0,VLOOKUP(B46,Items!$A$616:$X$640,23,FALSE),""),"")</f>
        <v/>
      </c>
      <c r="K46" s="267" t="str">
        <f>IF(B46&lt;&gt;"",IF(VLOOKUP(B46,Items!$A$616:$X$640,24,FALSE)&lt;&gt;0,VLOOKUP(B46,Items!$A$616:$X$640,24,FALSE),""),"")</f>
        <v/>
      </c>
      <c r="L46" s="266"/>
      <c r="M46" s="248"/>
      <c r="N46" s="248"/>
      <c r="O46" s="266"/>
      <c r="P46" s="264"/>
      <c r="Q46" s="267"/>
    </row>
    <row r="47" spans="1:17" hidden="1">
      <c r="A47" s="261" t="s">
        <v>1147</v>
      </c>
      <c r="B47" s="262"/>
      <c r="C47" s="249" t="str">
        <f>IF(B47&lt;&gt;"",VLOOKUP(B47,Items!$A$616:$X$640,15,FALSE),"")</f>
        <v/>
      </c>
      <c r="D47" s="249" t="str">
        <f>IF(B47&lt;&gt;"",VLOOKUP(B47,Items!$A$616:$X$640,16,FALSE),"")</f>
        <v/>
      </c>
      <c r="E47" s="263" t="str">
        <f>IF(B47&lt;&gt;"",VLOOKUP(B47,Items!$A$616:$X$640,17,FALSE),"")</f>
        <v/>
      </c>
      <c r="F47" s="264" t="str">
        <f>IF(B47&lt;&gt;"",IF(VLOOKUP(B47,Items!$A$616:$X$640,19,FALSE)&lt;&gt;0,VLOOKUP(B47,Items!$A$616:$X$640,19,FALSE),""),"")</f>
        <v/>
      </c>
      <c r="G47" s="265" t="str">
        <f>IF(B47&lt;&gt;"",IF(VLOOKUP(B47,Items!$A$616:$X$640,20,FALSE)&lt;&gt;0,VLOOKUP(B47,Items!$A$616:$X$640,20,FALSE),""),"")</f>
        <v/>
      </c>
      <c r="H47" s="248" t="str">
        <f>IF(B47&lt;&gt;"",IF(VLOOKUP(B47,Items!$A$616:$X$640,21,FALSE)&lt;&gt;0,VLOOKUP(B47,Items!$A$616:$X$640,21,FALSE),""),"")</f>
        <v/>
      </c>
      <c r="I47" s="266" t="str">
        <f>IF(B47&lt;&gt;"",IF(VLOOKUP(B47,Items!$A$616:$X$640,22,FALSE)&lt;&gt;0,VLOOKUP(B47,Items!$A$616:$X$640,22,FALSE),""),"")</f>
        <v/>
      </c>
      <c r="J47" s="248" t="str">
        <f>IF(B47&lt;&gt;"",IF(VLOOKUP(B47,Items!$A$616:$X$640,23,FALSE)&lt;&gt;0,VLOOKUP(B47,Items!$A$616:$X$640,23,FALSE),""),"")</f>
        <v/>
      </c>
      <c r="K47" s="267" t="str">
        <f>IF(B47&lt;&gt;"",IF(VLOOKUP(B47,Items!$A$616:$X$640,24,FALSE)&lt;&gt;0,VLOOKUP(B47,Items!$A$616:$X$640,24,FALSE),""),"")</f>
        <v/>
      </c>
      <c r="L47" s="266"/>
      <c r="M47" s="248"/>
      <c r="N47" s="248"/>
      <c r="O47" s="266"/>
      <c r="P47" s="264"/>
      <c r="Q47" s="267"/>
    </row>
    <row r="48" spans="1:17" hidden="1">
      <c r="A48" s="261" t="s">
        <v>1148</v>
      </c>
      <c r="B48" s="262"/>
      <c r="C48" s="249" t="str">
        <f>IF(B48&lt;&gt;"",VLOOKUP(B48,Items!$A$616:$X$640,15,FALSE),"")</f>
        <v/>
      </c>
      <c r="D48" s="249" t="str">
        <f>IF(B48&lt;&gt;"",VLOOKUP(B48,Items!$A$616:$X$640,16,FALSE),"")</f>
        <v/>
      </c>
      <c r="E48" s="263" t="str">
        <f>IF(B48&lt;&gt;"",VLOOKUP(B48,Items!$A$616:$X$640,17,FALSE),"")</f>
        <v/>
      </c>
      <c r="F48" s="264" t="str">
        <f>IF(B48&lt;&gt;"",IF(VLOOKUP(B48,Items!$A$616:$X$640,19,FALSE)&lt;&gt;0,VLOOKUP(B48,Items!$A$616:$X$640,19,FALSE),""),"")</f>
        <v/>
      </c>
      <c r="G48" s="265" t="str">
        <f>IF(B48&lt;&gt;"",IF(VLOOKUP(B48,Items!$A$616:$X$640,20,FALSE)&lt;&gt;0,VLOOKUP(B48,Items!$A$616:$X$640,20,FALSE),""),"")</f>
        <v/>
      </c>
      <c r="H48" s="248" t="str">
        <f>IF(B48&lt;&gt;"",IF(VLOOKUP(B48,Items!$A$616:$X$640,21,FALSE)&lt;&gt;0,VLOOKUP(B48,Items!$A$616:$X$640,21,FALSE),""),"")</f>
        <v/>
      </c>
      <c r="I48" s="266" t="str">
        <f>IF(B48&lt;&gt;"",IF(VLOOKUP(B48,Items!$A$616:$X$640,22,FALSE)&lt;&gt;0,VLOOKUP(B48,Items!$A$616:$X$640,22,FALSE),""),"")</f>
        <v/>
      </c>
      <c r="J48" s="248" t="str">
        <f>IF(B48&lt;&gt;"",IF(VLOOKUP(B48,Items!$A$616:$X$640,23,FALSE)&lt;&gt;0,VLOOKUP(B48,Items!$A$616:$X$640,23,FALSE),""),"")</f>
        <v/>
      </c>
      <c r="K48" s="267" t="str">
        <f>IF(B48&lt;&gt;"",IF(VLOOKUP(B48,Items!$A$616:$X$640,24,FALSE)&lt;&gt;0,VLOOKUP(B48,Items!$A$616:$X$640,24,FALSE),""),"")</f>
        <v/>
      </c>
      <c r="L48" s="266"/>
      <c r="M48" s="248"/>
      <c r="N48" s="248"/>
      <c r="O48" s="266"/>
      <c r="P48" s="264"/>
      <c r="Q48" s="267"/>
    </row>
    <row r="49" spans="1:17" hidden="1">
      <c r="A49" s="261" t="s">
        <v>1149</v>
      </c>
      <c r="B49" s="262"/>
      <c r="C49" s="249" t="str">
        <f>IF(B49&lt;&gt;"",VLOOKUP(B49,Items!$A$616:$X$640,15,FALSE),"")</f>
        <v/>
      </c>
      <c r="D49" s="249" t="str">
        <f>IF(B49&lt;&gt;"",VLOOKUP(B49,Items!$A$616:$X$640,16,FALSE),"")</f>
        <v/>
      </c>
      <c r="E49" s="263" t="str">
        <f>IF(B49&lt;&gt;"",VLOOKUP(B49,Items!$A$616:$X$640,17,FALSE),"")</f>
        <v/>
      </c>
      <c r="F49" s="264" t="str">
        <f>IF(B49&lt;&gt;"",IF(VLOOKUP(B49,Items!$A$616:$X$640,19,FALSE)&lt;&gt;0,VLOOKUP(B49,Items!$A$616:$X$640,19,FALSE),""),"")</f>
        <v/>
      </c>
      <c r="G49" s="265" t="str">
        <f>IF(B49&lt;&gt;"",IF(VLOOKUP(B49,Items!$A$616:$X$640,20,FALSE)&lt;&gt;0,VLOOKUP(B49,Items!$A$616:$X$640,20,FALSE),""),"")</f>
        <v/>
      </c>
      <c r="H49" s="248" t="str">
        <f>IF(B49&lt;&gt;"",IF(VLOOKUP(B49,Items!$A$616:$X$640,21,FALSE)&lt;&gt;0,VLOOKUP(B49,Items!$A$616:$X$640,21,FALSE),""),"")</f>
        <v/>
      </c>
      <c r="I49" s="266" t="str">
        <f>IF(B49&lt;&gt;"",IF(VLOOKUP(B49,Items!$A$616:$X$640,22,FALSE)&lt;&gt;0,VLOOKUP(B49,Items!$A$616:$X$640,22,FALSE),""),"")</f>
        <v/>
      </c>
      <c r="J49" s="248" t="str">
        <f>IF(B49&lt;&gt;"",IF(VLOOKUP(B49,Items!$A$616:$X$640,23,FALSE)&lt;&gt;0,VLOOKUP(B49,Items!$A$616:$X$640,23,FALSE),""),"")</f>
        <v/>
      </c>
      <c r="K49" s="267" t="str">
        <f>IF(B49&lt;&gt;"",IF(VLOOKUP(B49,Items!$A$616:$X$640,24,FALSE)&lt;&gt;0,VLOOKUP(B49,Items!$A$616:$X$640,24,FALSE),""),"")</f>
        <v/>
      </c>
      <c r="L49" s="266"/>
      <c r="M49" s="248"/>
      <c r="N49" s="248"/>
      <c r="O49" s="266"/>
      <c r="P49" s="264"/>
      <c r="Q49" s="267"/>
    </row>
    <row r="50" spans="1:17" hidden="1">
      <c r="A50" s="261" t="s">
        <v>1150</v>
      </c>
      <c r="B50" s="262"/>
      <c r="C50" s="249" t="str">
        <f>IF(B50&lt;&gt;"",VLOOKUP(B50,Items!$A$616:$X$640,15,FALSE),"")</f>
        <v/>
      </c>
      <c r="D50" s="249" t="str">
        <f>IF(B50&lt;&gt;"",VLOOKUP(B50,Items!$A$616:$X$640,16,FALSE),"")</f>
        <v/>
      </c>
      <c r="E50" s="263" t="str">
        <f>IF(B50&lt;&gt;"",VLOOKUP(B50,Items!$A$616:$X$640,17,FALSE),"")</f>
        <v/>
      </c>
      <c r="F50" s="264" t="str">
        <f>IF(B50&lt;&gt;"",IF(VLOOKUP(B50,Items!$A$616:$X$640,19,FALSE)&lt;&gt;0,VLOOKUP(B50,Items!$A$616:$X$640,19,FALSE),""),"")</f>
        <v/>
      </c>
      <c r="G50" s="265" t="str">
        <f>IF(B50&lt;&gt;"",IF(VLOOKUP(B50,Items!$A$616:$X$640,20,FALSE)&lt;&gt;0,VLOOKUP(B50,Items!$A$616:$X$640,20,FALSE),""),"")</f>
        <v/>
      </c>
      <c r="H50" s="248" t="str">
        <f>IF(B50&lt;&gt;"",IF(VLOOKUP(B50,Items!$A$616:$X$640,21,FALSE)&lt;&gt;0,VLOOKUP(B50,Items!$A$616:$X$640,21,FALSE),""),"")</f>
        <v/>
      </c>
      <c r="I50" s="266" t="str">
        <f>IF(B50&lt;&gt;"",IF(VLOOKUP(B50,Items!$A$616:$X$640,22,FALSE)&lt;&gt;0,VLOOKUP(B50,Items!$A$616:$X$640,22,FALSE),""),"")</f>
        <v/>
      </c>
      <c r="J50" s="248" t="str">
        <f>IF(B50&lt;&gt;"",IF(VLOOKUP(B50,Items!$A$616:$X$640,23,FALSE)&lt;&gt;0,VLOOKUP(B50,Items!$A$616:$X$640,23,FALSE),""),"")</f>
        <v/>
      </c>
      <c r="K50" s="267" t="str">
        <f>IF(B50&lt;&gt;"",IF(VLOOKUP(B50,Items!$A$616:$X$640,24,FALSE)&lt;&gt;0,VLOOKUP(B50,Items!$A$616:$X$640,24,FALSE),""),"")</f>
        <v/>
      </c>
      <c r="L50" s="266"/>
      <c r="M50" s="248"/>
      <c r="N50" s="248"/>
      <c r="O50" s="266"/>
      <c r="P50" s="264"/>
      <c r="Q50" s="267"/>
    </row>
    <row r="51" spans="1:17" hidden="1">
      <c r="A51" s="261" t="s">
        <v>1151</v>
      </c>
      <c r="B51" s="262"/>
      <c r="C51" s="249" t="str">
        <f>IF(B51&lt;&gt;"",VLOOKUP(B51,Items!$A$616:$X$640,15,FALSE),"")</f>
        <v/>
      </c>
      <c r="D51" s="249" t="str">
        <f>IF(B51&lt;&gt;"",VLOOKUP(B51,Items!$A$616:$X$640,16,FALSE),"")</f>
        <v/>
      </c>
      <c r="E51" s="263" t="str">
        <f>IF(B51&lt;&gt;"",VLOOKUP(B51,Items!$A$616:$X$640,17,FALSE),"")</f>
        <v/>
      </c>
      <c r="F51" s="264" t="str">
        <f>IF(B51&lt;&gt;"",IF(VLOOKUP(B51,Items!$A$616:$X$640,19,FALSE)&lt;&gt;0,VLOOKUP(B51,Items!$A$616:$X$640,19,FALSE),""),"")</f>
        <v/>
      </c>
      <c r="G51" s="265" t="str">
        <f>IF(B51&lt;&gt;"",IF(VLOOKUP(B51,Items!$A$616:$X$640,20,FALSE)&lt;&gt;0,VLOOKUP(B51,Items!$A$616:$X$640,20,FALSE),""),"")</f>
        <v/>
      </c>
      <c r="H51" s="248" t="str">
        <f>IF(B51&lt;&gt;"",IF(VLOOKUP(B51,Items!$A$616:$X$640,21,FALSE)&lt;&gt;0,VLOOKUP(B51,Items!$A$616:$X$640,21,FALSE),""),"")</f>
        <v/>
      </c>
      <c r="I51" s="266" t="str">
        <f>IF(B51&lt;&gt;"",IF(VLOOKUP(B51,Items!$A$616:$X$640,22,FALSE)&lt;&gt;0,VLOOKUP(B51,Items!$A$616:$X$640,22,FALSE),""),"")</f>
        <v/>
      </c>
      <c r="J51" s="248" t="str">
        <f>IF(B51&lt;&gt;"",IF(VLOOKUP(B51,Items!$A$616:$X$640,23,FALSE)&lt;&gt;0,VLOOKUP(B51,Items!$A$616:$X$640,23,FALSE),""),"")</f>
        <v/>
      </c>
      <c r="K51" s="267" t="str">
        <f>IF(B51&lt;&gt;"",IF(VLOOKUP(B51,Items!$A$616:$X$640,24,FALSE)&lt;&gt;0,VLOOKUP(B51,Items!$A$616:$X$640,24,FALSE),""),"")</f>
        <v/>
      </c>
      <c r="L51" s="266"/>
      <c r="M51" s="248"/>
      <c r="N51" s="248"/>
      <c r="O51" s="266"/>
      <c r="P51" s="264"/>
      <c r="Q51" s="267"/>
    </row>
    <row r="52" spans="1:17">
      <c r="A52" s="247" t="s">
        <v>570</v>
      </c>
      <c r="B52" s="316" t="s">
        <v>1218</v>
      </c>
      <c r="C52" s="249">
        <f>IF(convertString(B52, "prefix")&lt;&gt;"",VLOOKUP(convertString(B52, "prefix"),Items!$A$544:$Z$612,15,FALSE),0) + IF(convertString(B52, "item")&lt;&gt;"",VLOOKUP(convertString(B52, "item"),Items!$A$14:$X$432,15,FALSE),0) + IF(convertString(B52, "suffix")&lt;&gt;"",VLOOKUP(convertString(B52, "suffix"),Items!$A$544:$Z$612,15,FALSE),0) + SUM(C53:C58)</f>
        <v>12</v>
      </c>
      <c r="D52" s="249">
        <f>IF(convertString(B52, "prefix")&lt;&gt;"",VLOOKUP(convertString(B52, "prefix"),Items!$A$544:$Z$612,16,FALSE),0) + IF(convertString(B52, "item")&lt;&gt;"",VLOOKUP(convertString(B52, "item"),Items!$A$14:$X$432,16,FALSE),0) + IF(convertString(B52, "suffix")&lt;&gt;"",VLOOKUP(convertString(B52, "suffix"),Items!$A$544:$Z$612,16,FALSE),0)+SUM(D53:D58)</f>
        <v>0</v>
      </c>
      <c r="E52" s="249">
        <f>IF(convertString(B52, "prefix")&lt;&gt;"",VLOOKUP(convertString(B52, "prefix"),Items!$A$544:$Z$612,17,FALSE),0) + IF(convertString(B52, "item")&lt;&gt;"",VLOOKUP(convertString(B52, "item"),Items!$A$14:$X$432,17,FALSE),0) + IF(convertString(B52, "suffix")&lt;&gt;"",VLOOKUP(convertString(B52, "suffix"),Items!$A$544:$Z$612,17,FALSE),0)+SUM(E53:E58)</f>
        <v>5</v>
      </c>
      <c r="F52" s="266">
        <f>IF(VLOOKUP(convertString(B52, "item"),Items!$A$14:$X$432,19,FALSE)&lt;&gt;"",VLOOKUP(convertString(B52, "item"),Items!$A$14:$X$432,19,FALSE),"")</f>
        <v>0.01</v>
      </c>
      <c r="G52" s="269" t="str">
        <f>IF(VLOOKUP(convertString(B52, "item"),Items!$A$14:$X$432,20,FALSE)&lt;&gt;0,VLOOKUP(convertString(B52, "item"),Items!$A$14:$X$432,20,FALSE),"")</f>
        <v>Spy</v>
      </c>
      <c r="H52" s="248" t="str">
        <f>IF(VLOOKUP(convertString(B52, "item"),Items!$A$14:$X$432,21,FALSE)&lt;&gt;"",VLOOKUP(convertString(B52, "item"),Items!$A$14:$X$432,21,FALSE),"")</f>
        <v>Defend</v>
      </c>
      <c r="I52" s="266" t="str">
        <f>IF(VLOOKUP(convertString(B52, "item"),Items!$A$14:$X$432,22,FALSE)&lt;&gt;"",VLOOKUP(convertString(B52, "item"),Items!$A$14:$X$432,22,FALSE),"")</f>
        <v/>
      </c>
      <c r="J52" s="265" t="str">
        <f>IF(VLOOKUP(convertString(B52, "item"),Items!$A$14:$X$432,23,FALSE)&lt;&gt;"",VLOOKUP(convertString(B52, "item"),Items!$A$14:$X$432,23,FALSE),"")</f>
        <v/>
      </c>
      <c r="K52" s="248" t="str">
        <f>IF(VLOOKUP(convertString(B52, "item"),Items!$A$14:$X$432,24,FALSE)&lt;&gt;"",VLOOKUP(convertString(B52, "item"),Items!$A$14:$X$432,24,FALSE),"")</f>
        <v/>
      </c>
      <c r="L52" s="266" t="str">
        <f>IF(IF(convertString(B52, "suffix")&lt;&gt;"",VLOOKUP(convertString(B52, "suffix"),Items!$A$544:$Z$612,19,FALSE),"")&lt;&gt;"",IF(convertString(B52, "suffix")&lt;&gt;"",VLOOKUP(convertString(B52, "suffix"),Items!$A$544:$Z$612,19,FALSE),""),"")</f>
        <v/>
      </c>
      <c r="M52" s="248" t="str">
        <f>IF(IF(convertString(B52, "suffix")&lt;&gt;"",VLOOKUP(convertString(B52, "suffix"),Items!$A$544:$Z$612,20,FALSE),"")&lt;&gt;"",IF(convertString(B52, "suffix")&lt;&gt;"",VLOOKUP(convertString(B52, "suffix"),Items!$A$544:$Z$612,20,FALSE),""),"")</f>
        <v/>
      </c>
      <c r="N52" s="248" t="str">
        <f>IF(IF(convertString(B52, "suffix")&lt;&gt;"",VLOOKUP(convertString(B52, "suffix"),Items!$A$544:$Z$612,21,FALSE),"")&lt;&gt;"",IF(convertString(B52, "suffix")&lt;&gt;"",VLOOKUP(convertString(B52, "suffix"),Items!$A$544:$Z$612,21,FALSE),""),"")</f>
        <v/>
      </c>
      <c r="O52" s="266" t="str">
        <f>IF(IF(convertString(B52, "prefix")&lt;&gt;"",VLOOKUP(convertString(B52, "prefix"),Items!$A$544:$Z$612,19,FALSE),"")&lt;&gt;"",IF(convertString(B52, "prefix")&lt;&gt;"",VLOOKUP(convertString(B52, "prefix"),Items!$A$544:$Z$612,19,FALSE),""),"")</f>
        <v/>
      </c>
      <c r="P52" s="264" t="str">
        <f>IF(IF(convertString(B52, "prefix")&lt;&gt;"",VLOOKUP(convertString(B52, "prefix"),Items!$A$544:$Z$612,20,FALSE),"")&lt;&gt;"",IF(convertString(B52, "prefix")&lt;&gt;"",VLOOKUP(convertString(B52, "prefix"),Items!$A$544:$Z$612,20,FALSE),""),"")</f>
        <v/>
      </c>
      <c r="Q52" s="267" t="str">
        <f>IF(IF(convertString(B52, "prefix")&lt;&gt;"",VLOOKUP(convertString(B52, "prefix"),Items!$A$544:$Z$612,21,FALSE),"")&lt;&gt;"",IF(convertString(B52, "prefix")&lt;&gt;"",VLOOKUP(convertString(B52, "prefix"),Items!$A$544:$Z$612,21,FALSE),""),"")</f>
        <v/>
      </c>
    </row>
    <row r="53" spans="1:17" hidden="1">
      <c r="A53" s="261" t="s">
        <v>1146</v>
      </c>
      <c r="B53" s="262"/>
      <c r="C53" s="249" t="str">
        <f>IF(B53&lt;&gt;"",VLOOKUP(B53,Items!$A$616:$X$640,15,FALSE),"")</f>
        <v/>
      </c>
      <c r="D53" s="249" t="str">
        <f>IF(B53&lt;&gt;"",VLOOKUP(B53,Items!$A$616:$X$640,16,FALSE),"")</f>
        <v/>
      </c>
      <c r="E53" s="263" t="str">
        <f>IF(B53&lt;&gt;"",VLOOKUP(B53,Items!$A$616:$X$640,17,FALSE),"")</f>
        <v/>
      </c>
      <c r="F53" s="264" t="str">
        <f>IF(B53&lt;&gt;"",IF(VLOOKUP(B53,Items!$A$616:$X$640,19,FALSE)&lt;&gt;0,VLOOKUP(B53,Items!$A$616:$X$640,19,FALSE),""),"")</f>
        <v/>
      </c>
      <c r="G53" s="265" t="str">
        <f>IF(B53&lt;&gt;"",IF(VLOOKUP(B53,Items!$A$616:$X$640,20,FALSE)&lt;&gt;0,VLOOKUP(B53,Items!$A$616:$X$640,20,FALSE),""),"")</f>
        <v/>
      </c>
      <c r="H53" s="248" t="str">
        <f>IF(B53&lt;&gt;"",IF(VLOOKUP(B53,Items!$A$616:$X$640,21,FALSE)&lt;&gt;0,VLOOKUP(B53,Items!$A$616:$X$640,21,FALSE),""),"")</f>
        <v/>
      </c>
      <c r="I53" s="266" t="str">
        <f>IF(B53&lt;&gt;"",IF(VLOOKUP(B53,Items!$A$616:$X$640,22,FALSE)&lt;&gt;0,VLOOKUP(B53,Items!$A$616:$X$640,22,FALSE),""),"")</f>
        <v/>
      </c>
      <c r="J53" s="248" t="str">
        <f>IF(B53&lt;&gt;"",IF(VLOOKUP(B53,Items!$A$616:$X$640,23,FALSE)&lt;&gt;0,VLOOKUP(B53,Items!$A$616:$X$640,23,FALSE),""),"")</f>
        <v/>
      </c>
      <c r="K53" s="267" t="str">
        <f>IF(B53&lt;&gt;"",IF(VLOOKUP(B53,Items!$A$616:$X$640,24,FALSE)&lt;&gt;0,VLOOKUP(B53,Items!$A$616:$X$640,24,FALSE),""),"")</f>
        <v/>
      </c>
      <c r="L53" s="266"/>
      <c r="M53" s="248"/>
      <c r="N53" s="248"/>
      <c r="O53" s="266"/>
      <c r="P53" s="264"/>
      <c r="Q53" s="267"/>
    </row>
    <row r="54" spans="1:17" hidden="1">
      <c r="A54" s="261" t="s">
        <v>1147</v>
      </c>
      <c r="B54" s="262"/>
      <c r="C54" s="249" t="str">
        <f>IF(B54&lt;&gt;"",VLOOKUP(B54,Items!$A$616:$X$640,15,FALSE),"")</f>
        <v/>
      </c>
      <c r="D54" s="249" t="str">
        <f>IF(B54&lt;&gt;"",VLOOKUP(B54,Items!$A$616:$X$640,16,FALSE),"")</f>
        <v/>
      </c>
      <c r="E54" s="263" t="str">
        <f>IF(B54&lt;&gt;"",VLOOKUP(B54,Items!$A$616:$X$640,17,FALSE),"")</f>
        <v/>
      </c>
      <c r="F54" s="264" t="str">
        <f>IF(B54&lt;&gt;"",IF(VLOOKUP(B54,Items!$A$616:$X$640,19,FALSE)&lt;&gt;0,VLOOKUP(B54,Items!$A$616:$X$640,19,FALSE),""),"")</f>
        <v/>
      </c>
      <c r="G54" s="265" t="str">
        <f>IF(B54&lt;&gt;"",IF(VLOOKUP(B54,Items!$A$616:$X$640,20,FALSE)&lt;&gt;0,VLOOKUP(B54,Items!$A$616:$X$640,20,FALSE),""),"")</f>
        <v/>
      </c>
      <c r="H54" s="248" t="str">
        <f>IF(B54&lt;&gt;"",IF(VLOOKUP(B54,Items!$A$616:$X$640,21,FALSE)&lt;&gt;0,VLOOKUP(B54,Items!$A$616:$X$640,21,FALSE),""),"")</f>
        <v/>
      </c>
      <c r="I54" s="266" t="str">
        <f>IF(B54&lt;&gt;"",IF(VLOOKUP(B54,Items!$A$616:$X$640,22,FALSE)&lt;&gt;0,VLOOKUP(B54,Items!$A$616:$X$640,22,FALSE),""),"")</f>
        <v/>
      </c>
      <c r="J54" s="248" t="str">
        <f>IF(B54&lt;&gt;"",IF(VLOOKUP(B54,Items!$A$616:$X$640,23,FALSE)&lt;&gt;0,VLOOKUP(B54,Items!$A$616:$X$640,23,FALSE),""),"")</f>
        <v/>
      </c>
      <c r="K54" s="267" t="str">
        <f>IF(B54&lt;&gt;"",IF(VLOOKUP(B54,Items!$A$616:$X$640,24,FALSE)&lt;&gt;0,VLOOKUP(B54,Items!$A$616:$X$640,24,FALSE),""),"")</f>
        <v/>
      </c>
      <c r="L54" s="266"/>
      <c r="M54" s="248"/>
      <c r="N54" s="248"/>
      <c r="O54" s="266"/>
      <c r="P54" s="264"/>
      <c r="Q54" s="267"/>
    </row>
    <row r="55" spans="1:17" hidden="1">
      <c r="A55" s="261" t="s">
        <v>1148</v>
      </c>
      <c r="B55" s="262"/>
      <c r="C55" s="249" t="str">
        <f>IF(B55&lt;&gt;"",VLOOKUP(B55,Items!$A$616:$X$640,15,FALSE),"")</f>
        <v/>
      </c>
      <c r="D55" s="249" t="str">
        <f>IF(B55&lt;&gt;"",VLOOKUP(B55,Items!$A$616:$X$640,16,FALSE),"")</f>
        <v/>
      </c>
      <c r="E55" s="263" t="str">
        <f>IF(B55&lt;&gt;"",VLOOKUP(B55,Items!$A$616:$X$640,17,FALSE),"")</f>
        <v/>
      </c>
      <c r="F55" s="264" t="str">
        <f>IF(B55&lt;&gt;"",IF(VLOOKUP(B55,Items!$A$616:$X$640,19,FALSE)&lt;&gt;0,VLOOKUP(B55,Items!$A$616:$X$640,19,FALSE),""),"")</f>
        <v/>
      </c>
      <c r="G55" s="265" t="str">
        <f>IF(B55&lt;&gt;"",IF(VLOOKUP(B55,Items!$A$616:$X$640,20,FALSE)&lt;&gt;0,VLOOKUP(B55,Items!$A$616:$X$640,20,FALSE),""),"")</f>
        <v/>
      </c>
      <c r="H55" s="248" t="str">
        <f>IF(B55&lt;&gt;"",IF(VLOOKUP(B55,Items!$A$616:$X$640,21,FALSE)&lt;&gt;0,VLOOKUP(B55,Items!$A$616:$X$640,21,FALSE),""),"")</f>
        <v/>
      </c>
      <c r="I55" s="266" t="str">
        <f>IF(B55&lt;&gt;"",IF(VLOOKUP(B55,Items!$A$616:$X$640,22,FALSE)&lt;&gt;0,VLOOKUP(B55,Items!$A$616:$X$640,22,FALSE),""),"")</f>
        <v/>
      </c>
      <c r="J55" s="248" t="str">
        <f>IF(B55&lt;&gt;"",IF(VLOOKUP(B55,Items!$A$616:$X$640,23,FALSE)&lt;&gt;0,VLOOKUP(B55,Items!$A$616:$X$640,23,FALSE),""),"")</f>
        <v/>
      </c>
      <c r="K55" s="267" t="str">
        <f>IF(B55&lt;&gt;"",IF(VLOOKUP(B55,Items!$A$616:$X$640,24,FALSE)&lt;&gt;0,VLOOKUP(B55,Items!$A$616:$X$640,24,FALSE),""),"")</f>
        <v/>
      </c>
      <c r="L55" s="266"/>
      <c r="M55" s="248"/>
      <c r="N55" s="248"/>
      <c r="O55" s="266"/>
      <c r="P55" s="264"/>
      <c r="Q55" s="267"/>
    </row>
    <row r="56" spans="1:17" hidden="1">
      <c r="A56" s="261" t="s">
        <v>1149</v>
      </c>
      <c r="B56" s="262"/>
      <c r="C56" s="249" t="str">
        <f>IF(B56&lt;&gt;"",VLOOKUP(B56,Items!$A$616:$X$640,15,FALSE),"")</f>
        <v/>
      </c>
      <c r="D56" s="249" t="str">
        <f>IF(B56&lt;&gt;"",VLOOKUP(B56,Items!$A$616:$X$640,16,FALSE),"")</f>
        <v/>
      </c>
      <c r="E56" s="263" t="str">
        <f>IF(B56&lt;&gt;"",VLOOKUP(B56,Items!$A$616:$X$640,17,FALSE),"")</f>
        <v/>
      </c>
      <c r="F56" s="264" t="str">
        <f>IF(B56&lt;&gt;"",IF(VLOOKUP(B56,Items!$A$616:$X$640,19,FALSE)&lt;&gt;0,VLOOKUP(B56,Items!$A$616:$X$640,19,FALSE),""),"")</f>
        <v/>
      </c>
      <c r="G56" s="265" t="str">
        <f>IF(B56&lt;&gt;"",IF(VLOOKUP(B56,Items!$A$616:$X$640,20,FALSE)&lt;&gt;0,VLOOKUP(B56,Items!$A$616:$X$640,20,FALSE),""),"")</f>
        <v/>
      </c>
      <c r="H56" s="248" t="str">
        <f>IF(B56&lt;&gt;"",IF(VLOOKUP(B56,Items!$A$616:$X$640,21,FALSE)&lt;&gt;0,VLOOKUP(B56,Items!$A$616:$X$640,21,FALSE),""),"")</f>
        <v/>
      </c>
      <c r="I56" s="266" t="str">
        <f>IF(B56&lt;&gt;"",IF(VLOOKUP(B56,Items!$A$616:$X$640,22,FALSE)&lt;&gt;0,VLOOKUP(B56,Items!$A$616:$X$640,22,FALSE),""),"")</f>
        <v/>
      </c>
      <c r="J56" s="248" t="str">
        <f>IF(B56&lt;&gt;"",IF(VLOOKUP(B56,Items!$A$616:$X$640,23,FALSE)&lt;&gt;0,VLOOKUP(B56,Items!$A$616:$X$640,23,FALSE),""),"")</f>
        <v/>
      </c>
      <c r="K56" s="267" t="str">
        <f>IF(B56&lt;&gt;"",IF(VLOOKUP(B56,Items!$A$616:$X$640,24,FALSE)&lt;&gt;0,VLOOKUP(B56,Items!$A$616:$X$640,24,FALSE),""),"")</f>
        <v/>
      </c>
      <c r="L56" s="266"/>
      <c r="M56" s="248"/>
      <c r="N56" s="248"/>
      <c r="O56" s="266"/>
      <c r="P56" s="264"/>
      <c r="Q56" s="267"/>
    </row>
    <row r="57" spans="1:17" hidden="1">
      <c r="A57" s="261" t="s">
        <v>1150</v>
      </c>
      <c r="B57" s="262"/>
      <c r="C57" s="249" t="str">
        <f>IF(B57&lt;&gt;"",VLOOKUP(B57,Items!$A$616:$X$640,15,FALSE),"")</f>
        <v/>
      </c>
      <c r="D57" s="249" t="str">
        <f>IF(B57&lt;&gt;"",VLOOKUP(B57,Items!$A$616:$X$640,16,FALSE),"")</f>
        <v/>
      </c>
      <c r="E57" s="263" t="str">
        <f>IF(B57&lt;&gt;"",VLOOKUP(B57,Items!$A$616:$X$640,17,FALSE),"")</f>
        <v/>
      </c>
      <c r="F57" s="264" t="str">
        <f>IF(B57&lt;&gt;"",IF(VLOOKUP(B57,Items!$A$616:$X$640,19,FALSE)&lt;&gt;0,VLOOKUP(B57,Items!$A$616:$X$640,19,FALSE),""),"")</f>
        <v/>
      </c>
      <c r="G57" s="265" t="str">
        <f>IF(B57&lt;&gt;"",IF(VLOOKUP(B57,Items!$A$616:$X$640,20,FALSE)&lt;&gt;0,VLOOKUP(B57,Items!$A$616:$X$640,20,FALSE),""),"")</f>
        <v/>
      </c>
      <c r="H57" s="248" t="str">
        <f>IF(B57&lt;&gt;"",IF(VLOOKUP(B57,Items!$A$616:$X$640,21,FALSE)&lt;&gt;0,VLOOKUP(B57,Items!$A$616:$X$640,21,FALSE),""),"")</f>
        <v/>
      </c>
      <c r="I57" s="266" t="str">
        <f>IF(B57&lt;&gt;"",IF(VLOOKUP(B57,Items!$A$616:$X$640,22,FALSE)&lt;&gt;0,VLOOKUP(B57,Items!$A$616:$X$640,22,FALSE),""),"")</f>
        <v/>
      </c>
      <c r="J57" s="248" t="str">
        <f>IF(B57&lt;&gt;"",IF(VLOOKUP(B57,Items!$A$616:$X$640,23,FALSE)&lt;&gt;0,VLOOKUP(B57,Items!$A$616:$X$640,23,FALSE),""),"")</f>
        <v/>
      </c>
      <c r="K57" s="267" t="str">
        <f>IF(B57&lt;&gt;"",IF(VLOOKUP(B57,Items!$A$616:$X$640,24,FALSE)&lt;&gt;0,VLOOKUP(B57,Items!$A$616:$X$640,24,FALSE),""),"")</f>
        <v/>
      </c>
      <c r="L57" s="266"/>
      <c r="M57" s="248"/>
      <c r="N57" s="248"/>
      <c r="O57" s="266"/>
      <c r="P57" s="264"/>
      <c r="Q57" s="267"/>
    </row>
    <row r="58" spans="1:17" hidden="1">
      <c r="A58" s="261" t="s">
        <v>1151</v>
      </c>
      <c r="B58" s="262"/>
      <c r="C58" s="249" t="str">
        <f>IF(B58&lt;&gt;"",VLOOKUP(B58,Items!$A$616:$X$640,15,FALSE),"")</f>
        <v/>
      </c>
      <c r="D58" s="249" t="str">
        <f>IF(B58&lt;&gt;"",VLOOKUP(B58,Items!$A$616:$X$640,16,FALSE),"")</f>
        <v/>
      </c>
      <c r="E58" s="263" t="str">
        <f>IF(B58&lt;&gt;"",VLOOKUP(B58,Items!$A$616:$X$640,17,FALSE),"")</f>
        <v/>
      </c>
      <c r="F58" s="264" t="str">
        <f>IF(B58&lt;&gt;"",IF(VLOOKUP(B58,Items!$A$616:$X$640,19,FALSE)&lt;&gt;0,VLOOKUP(B58,Items!$A$616:$X$640,19,FALSE),""),"")</f>
        <v/>
      </c>
      <c r="G58" s="265" t="str">
        <f>IF(B58&lt;&gt;"",IF(VLOOKUP(B58,Items!$A$616:$X$640,20,FALSE)&lt;&gt;0,VLOOKUP(B58,Items!$A$616:$X$640,20,FALSE),""),"")</f>
        <v/>
      </c>
      <c r="H58" s="248" t="str">
        <f>IF(B58&lt;&gt;"",IF(VLOOKUP(B58,Items!$A$616:$X$640,21,FALSE)&lt;&gt;0,VLOOKUP(B58,Items!$A$616:$X$640,21,FALSE),""),"")</f>
        <v/>
      </c>
      <c r="I58" s="266" t="str">
        <f>IF(B58&lt;&gt;"",IF(VLOOKUP(B58,Items!$A$616:$X$640,22,FALSE)&lt;&gt;0,VLOOKUP(B58,Items!$A$616:$X$640,22,FALSE),""),"")</f>
        <v/>
      </c>
      <c r="J58" s="248" t="str">
        <f>IF(B58&lt;&gt;"",IF(VLOOKUP(B58,Items!$A$616:$X$640,23,FALSE)&lt;&gt;0,VLOOKUP(B58,Items!$A$616:$X$640,23,FALSE),""),"")</f>
        <v/>
      </c>
      <c r="K58" s="267" t="str">
        <f>IF(B58&lt;&gt;"",IF(VLOOKUP(B58,Items!$A$616:$X$640,24,FALSE)&lt;&gt;0,VLOOKUP(B58,Items!$A$616:$X$640,24,FALSE),""),"")</f>
        <v/>
      </c>
      <c r="L58" s="266"/>
      <c r="M58" s="248"/>
      <c r="N58" s="248"/>
      <c r="O58" s="266"/>
      <c r="P58" s="264"/>
      <c r="Q58" s="267"/>
    </row>
    <row r="59" spans="1:17">
      <c r="A59" s="270" t="s">
        <v>567</v>
      </c>
      <c r="B59" s="262" t="s">
        <v>33</v>
      </c>
      <c r="C59" s="249">
        <f>IF(convertString(B59, "prefix")&lt;&gt;"",VLOOKUP(convertString(B59, "prefix"),Items!$A$544:$Z$612,15,FALSE),0) + IF(convertString(B59, "item")&lt;&gt;"",VLOOKUP(convertString(B59, "item"),Items!$A$14:$X$432,15,FALSE),0) + IF(convertString(B59, "suffix")&lt;&gt;"",VLOOKUP(convertString(B59, "suffix"),Items!$A$544:$Z$612,15,FALSE),0) + SUM(C60:C65)</f>
        <v>1</v>
      </c>
      <c r="D59" s="249">
        <f>IF(convertString(B59, "prefix")&lt;&gt;"",VLOOKUP(convertString(B59, "prefix"),Items!$A$544:$Z$612,16,FALSE),0) + IF(convertString(B59, "item")&lt;&gt;"",VLOOKUP(convertString(B59, "item"),Items!$A$14:$X$432,16,FALSE),0) + IF(convertString(B59, "suffix")&lt;&gt;"",VLOOKUP(convertString(B59, "suffix"),Items!$A$544:$Z$612,16,FALSE),0)+SUM(D60:D65)</f>
        <v>0</v>
      </c>
      <c r="E59" s="249">
        <f>IF(convertString(B59, "prefix")&lt;&gt;"",VLOOKUP(convertString(B59, "prefix"),Items!$A$544:$Z$612,17,FALSE),0) + IF(convertString(B59, "item")&lt;&gt;"",VLOOKUP(convertString(B59, "item"),Items!$A$14:$X$432,17,FALSE),0) + IF(convertString(B59, "suffix")&lt;&gt;"",VLOOKUP(convertString(B59, "suffix"),Items!$A$544:$Z$612,17,FALSE),0)+SUM(E60:E65)</f>
        <v>0</v>
      </c>
      <c r="F59" s="266" t="str">
        <f>IF(VLOOKUP(convertString(B59, "item"),Items!$A$14:$X$432,19,FALSE)&lt;&gt;"",VLOOKUP(convertString(B59, "item"),Items!$A$14:$X$432,19,FALSE),"")</f>
        <v/>
      </c>
      <c r="G59" s="269" t="str">
        <f>IF(VLOOKUP(convertString(B59, "item"),Items!$A$14:$X$432,20,FALSE)&lt;&gt;0,VLOOKUP(convertString(B59, "item"),Items!$A$14:$X$432,20,FALSE),"")</f>
        <v/>
      </c>
      <c r="H59" s="248" t="str">
        <f>IF(VLOOKUP(convertString(B59, "item"),Items!$A$14:$X$432,21,FALSE)&lt;&gt;"",VLOOKUP(convertString(B59, "item"),Items!$A$14:$X$432,21,FALSE),"")</f>
        <v/>
      </c>
      <c r="I59" s="266" t="str">
        <f>IF(VLOOKUP(convertString(B59, "item"),Items!$A$14:$X$432,22,FALSE)&lt;&gt;"",VLOOKUP(convertString(B59, "item"),Items!$A$14:$X$432,22,FALSE),"")</f>
        <v/>
      </c>
      <c r="J59" s="265" t="str">
        <f>IF(VLOOKUP(convertString(B59, "item"),Items!$A$14:$X$432,23,FALSE)&lt;&gt;"",VLOOKUP(convertString(B59, "item"),Items!$A$14:$X$432,23,FALSE),"")</f>
        <v/>
      </c>
      <c r="K59" s="248" t="str">
        <f>IF(VLOOKUP(convertString(B59, "item"),Items!$A$14:$X$432,24,FALSE)&lt;&gt;"",VLOOKUP(convertString(B59, "item"),Items!$A$14:$X$432,24,FALSE),"")</f>
        <v/>
      </c>
      <c r="L59" s="266" t="str">
        <f>IF(IF(convertString(B59, "suffix")&lt;&gt;"",VLOOKUP(convertString(B59, "suffix"),Items!$A$544:$Z$612,19,FALSE),"")&lt;&gt;"",IF(convertString(B59, "suffix")&lt;&gt;"",VLOOKUP(convertString(B59, "suffix"),Items!$A$544:$Z$612,19,FALSE),""),"")</f>
        <v/>
      </c>
      <c r="M59" s="248" t="str">
        <f>IF(IF(convertString(B59, "suffix")&lt;&gt;"",VLOOKUP(convertString(B59, "suffix"),Items!$A$544:$Z$612,20,FALSE),"")&lt;&gt;"",IF(convertString(B59, "suffix")&lt;&gt;"",VLOOKUP(convertString(B59, "suffix"),Items!$A$544:$Z$612,20,FALSE),""),"")</f>
        <v/>
      </c>
      <c r="N59" s="248" t="str">
        <f>IF(IF(convertString(B59, "suffix")&lt;&gt;"",VLOOKUP(convertString(B59, "suffix"),Items!$A$544:$Z$612,21,FALSE),"")&lt;&gt;"",IF(convertString(B59, "suffix")&lt;&gt;"",VLOOKUP(convertString(B59, "suffix"),Items!$A$544:$Z$612,21,FALSE),""),"")</f>
        <v/>
      </c>
      <c r="O59" s="266" t="str">
        <f>IF(IF(convertString(B59, "prefix")&lt;&gt;"",VLOOKUP(convertString(B59, "prefix"),Items!$A$544:$Z$612,19,FALSE),"")&lt;&gt;"",IF(convertString(B59, "prefix")&lt;&gt;"",VLOOKUP(convertString(B59, "prefix"),Items!$A$544:$Z$612,19,FALSE),""),"")</f>
        <v/>
      </c>
      <c r="P59" s="264" t="str">
        <f>IF(IF(convertString(B59, "prefix")&lt;&gt;"",VLOOKUP(convertString(B59, "prefix"),Items!$A$544:$Z$612,20,FALSE),"")&lt;&gt;"",IF(convertString(B59, "prefix")&lt;&gt;"",VLOOKUP(convertString(B59, "prefix"),Items!$A$544:$Z$612,20,FALSE),""),"")</f>
        <v/>
      </c>
      <c r="Q59" s="267" t="str">
        <f>IF(IF(convertString(B59, "prefix")&lt;&gt;"",VLOOKUP(convertString(B59, "prefix"),Items!$A$544:$Z$612,21,FALSE),"")&lt;&gt;"",IF(convertString(B59, "prefix")&lt;&gt;"",VLOOKUP(convertString(B59, "prefix"),Items!$A$544:$Z$612,21,FALSE),""),"")</f>
        <v/>
      </c>
    </row>
    <row r="60" spans="1:17" hidden="1">
      <c r="A60" s="261" t="s">
        <v>1146</v>
      </c>
      <c r="B60" s="262"/>
      <c r="C60" s="249" t="str">
        <f>IF(B60&lt;&gt;"",VLOOKUP(B60,Items!$A$616:$X$640,15,FALSE),"")</f>
        <v/>
      </c>
      <c r="D60" s="249" t="str">
        <f>IF(B60&lt;&gt;"",VLOOKUP(B60,Items!$A$616:$X$640,16,FALSE),"")</f>
        <v/>
      </c>
      <c r="E60" s="263" t="str">
        <f>IF(B60&lt;&gt;"",VLOOKUP(B60,Items!$A$616:$X$640,17,FALSE),"")</f>
        <v/>
      </c>
      <c r="F60" s="264" t="str">
        <f>IF(B60&lt;&gt;"",IF(VLOOKUP(B60,Items!$A$616:$X$640,19,FALSE)&lt;&gt;0,VLOOKUP(B60,Items!$A$616:$X$640,19,FALSE),""),"")</f>
        <v/>
      </c>
      <c r="G60" s="265" t="str">
        <f>IF(B60&lt;&gt;"",IF(VLOOKUP(B60,Items!$A$616:$X$640,20,FALSE)&lt;&gt;0,VLOOKUP(B60,Items!$A$616:$X$640,20,FALSE),""),"")</f>
        <v/>
      </c>
      <c r="H60" s="248" t="str">
        <f>IF(B60&lt;&gt;"",IF(VLOOKUP(B60,Items!$A$616:$X$640,21,FALSE)&lt;&gt;0,VLOOKUP(B60,Items!$A$616:$X$640,21,FALSE),""),"")</f>
        <v/>
      </c>
      <c r="I60" s="266" t="str">
        <f>IF(B60&lt;&gt;"",IF(VLOOKUP(B60,Items!$A$616:$X$640,22,FALSE)&lt;&gt;0,VLOOKUP(B60,Items!$A$616:$X$640,22,FALSE),""),"")</f>
        <v/>
      </c>
      <c r="J60" s="248" t="str">
        <f>IF(B60&lt;&gt;"",IF(VLOOKUP(B60,Items!$A$616:$X$640,23,FALSE)&lt;&gt;0,VLOOKUP(B60,Items!$A$616:$X$640,23,FALSE),""),"")</f>
        <v/>
      </c>
      <c r="K60" s="267" t="str">
        <f>IF(B60&lt;&gt;"",IF(VLOOKUP(B60,Items!$A$616:$X$640,24,FALSE)&lt;&gt;0,VLOOKUP(B60,Items!$A$616:$X$640,24,FALSE),""),"")</f>
        <v/>
      </c>
      <c r="L60" s="266"/>
      <c r="M60" s="248"/>
      <c r="N60" s="248"/>
      <c r="O60" s="266"/>
      <c r="P60" s="264"/>
      <c r="Q60" s="267"/>
    </row>
    <row r="61" spans="1:17" hidden="1">
      <c r="A61" s="261" t="s">
        <v>1147</v>
      </c>
      <c r="B61" s="262"/>
      <c r="C61" s="249" t="str">
        <f>IF(B61&lt;&gt;"",VLOOKUP(B61,Items!$A$616:$X$640,15,FALSE),"")</f>
        <v/>
      </c>
      <c r="D61" s="249" t="str">
        <f>IF(B61&lt;&gt;"",VLOOKUP(B61,Items!$A$616:$X$640,16,FALSE),"")</f>
        <v/>
      </c>
      <c r="E61" s="263" t="str">
        <f>IF(B61&lt;&gt;"",VLOOKUP(B61,Items!$A$616:$X$640,17,FALSE),"")</f>
        <v/>
      </c>
      <c r="F61" s="264" t="str">
        <f>IF(B61&lt;&gt;"",IF(VLOOKUP(B61,Items!$A$616:$X$640,19,FALSE)&lt;&gt;0,VLOOKUP(B61,Items!$A$616:$X$640,19,FALSE),""),"")</f>
        <v/>
      </c>
      <c r="G61" s="265" t="str">
        <f>IF(B61&lt;&gt;"",IF(VLOOKUP(B61,Items!$A$616:$X$640,20,FALSE)&lt;&gt;0,VLOOKUP(B61,Items!$A$616:$X$640,20,FALSE),""),"")</f>
        <v/>
      </c>
      <c r="H61" s="248" t="str">
        <f>IF(B61&lt;&gt;"",IF(VLOOKUP(B61,Items!$A$616:$X$640,21,FALSE)&lt;&gt;0,VLOOKUP(B61,Items!$A$616:$X$640,21,FALSE),""),"")</f>
        <v/>
      </c>
      <c r="I61" s="266" t="str">
        <f>IF(B61&lt;&gt;"",IF(VLOOKUP(B61,Items!$A$616:$X$640,22,FALSE)&lt;&gt;0,VLOOKUP(B61,Items!$A$616:$X$640,22,FALSE),""),"")</f>
        <v/>
      </c>
      <c r="J61" s="248" t="str">
        <f>IF(B61&lt;&gt;"",IF(VLOOKUP(B61,Items!$A$616:$X$640,23,FALSE)&lt;&gt;0,VLOOKUP(B61,Items!$A$616:$X$640,23,FALSE),""),"")</f>
        <v/>
      </c>
      <c r="K61" s="267" t="str">
        <f>IF(B61&lt;&gt;"",IF(VLOOKUP(B61,Items!$A$616:$X$640,24,FALSE)&lt;&gt;0,VLOOKUP(B61,Items!$A$616:$X$640,24,FALSE),""),"")</f>
        <v/>
      </c>
      <c r="L61" s="266"/>
      <c r="M61" s="248"/>
      <c r="N61" s="248"/>
      <c r="O61" s="266"/>
      <c r="P61" s="264"/>
      <c r="Q61" s="267"/>
    </row>
    <row r="62" spans="1:17" hidden="1">
      <c r="A62" s="261" t="s">
        <v>1148</v>
      </c>
      <c r="B62" s="262"/>
      <c r="C62" s="249" t="str">
        <f>IF(B62&lt;&gt;"",VLOOKUP(B62,Items!$A$616:$X$640,15,FALSE),"")</f>
        <v/>
      </c>
      <c r="D62" s="249" t="str">
        <f>IF(B62&lt;&gt;"",VLOOKUP(B62,Items!$A$616:$X$640,16,FALSE),"")</f>
        <v/>
      </c>
      <c r="E62" s="263" t="str">
        <f>IF(B62&lt;&gt;"",VLOOKUP(B62,Items!$A$616:$X$640,17,FALSE),"")</f>
        <v/>
      </c>
      <c r="F62" s="264" t="str">
        <f>IF(B62&lt;&gt;"",IF(VLOOKUP(B62,Items!$A$616:$X$640,19,FALSE)&lt;&gt;0,VLOOKUP(B62,Items!$A$616:$X$640,19,FALSE),""),"")</f>
        <v/>
      </c>
      <c r="G62" s="265" t="str">
        <f>IF(B62&lt;&gt;"",IF(VLOOKUP(B62,Items!$A$616:$X$640,20,FALSE)&lt;&gt;0,VLOOKUP(B62,Items!$A$616:$X$640,20,FALSE),""),"")</f>
        <v/>
      </c>
      <c r="H62" s="248" t="str">
        <f>IF(B62&lt;&gt;"",IF(VLOOKUP(B62,Items!$A$616:$X$640,21,FALSE)&lt;&gt;0,VLOOKUP(B62,Items!$A$616:$X$640,21,FALSE),""),"")</f>
        <v/>
      </c>
      <c r="I62" s="266" t="str">
        <f>IF(B62&lt;&gt;"",IF(VLOOKUP(B62,Items!$A$616:$X$640,22,FALSE)&lt;&gt;0,VLOOKUP(B62,Items!$A$616:$X$640,22,FALSE),""),"")</f>
        <v/>
      </c>
      <c r="J62" s="248" t="str">
        <f>IF(B62&lt;&gt;"",IF(VLOOKUP(B62,Items!$A$616:$X$640,23,FALSE)&lt;&gt;0,VLOOKUP(B62,Items!$A$616:$X$640,23,FALSE),""),"")</f>
        <v/>
      </c>
      <c r="K62" s="267" t="str">
        <f>IF(B62&lt;&gt;"",IF(VLOOKUP(B62,Items!$A$616:$X$640,24,FALSE)&lt;&gt;0,VLOOKUP(B62,Items!$A$616:$X$640,24,FALSE),""),"")</f>
        <v/>
      </c>
      <c r="L62" s="266"/>
      <c r="M62" s="248"/>
      <c r="N62" s="248"/>
      <c r="O62" s="266"/>
      <c r="P62" s="264"/>
      <c r="Q62" s="267"/>
    </row>
    <row r="63" spans="1:17" hidden="1">
      <c r="A63" s="261" t="s">
        <v>1149</v>
      </c>
      <c r="B63" s="262"/>
      <c r="C63" s="249" t="str">
        <f>IF(B63&lt;&gt;"",VLOOKUP(B63,Items!$A$616:$X$640,15,FALSE),"")</f>
        <v/>
      </c>
      <c r="D63" s="249" t="str">
        <f>IF(B63&lt;&gt;"",VLOOKUP(B63,Items!$A$616:$X$640,16,FALSE),"")</f>
        <v/>
      </c>
      <c r="E63" s="263" t="str">
        <f>IF(B63&lt;&gt;"",VLOOKUP(B63,Items!$A$616:$X$640,17,FALSE),"")</f>
        <v/>
      </c>
      <c r="F63" s="264" t="str">
        <f>IF(B63&lt;&gt;"",IF(VLOOKUP(B63,Items!$A$616:$X$640,19,FALSE)&lt;&gt;0,VLOOKUP(B63,Items!$A$616:$X$640,19,FALSE),""),"")</f>
        <v/>
      </c>
      <c r="G63" s="265" t="str">
        <f>IF(B63&lt;&gt;"",IF(VLOOKUP(B63,Items!$A$616:$X$640,20,FALSE)&lt;&gt;0,VLOOKUP(B63,Items!$A$616:$X$640,20,FALSE),""),"")</f>
        <v/>
      </c>
      <c r="H63" s="248" t="str">
        <f>IF(B63&lt;&gt;"",IF(VLOOKUP(B63,Items!$A$616:$X$640,21,FALSE)&lt;&gt;0,VLOOKUP(B63,Items!$A$616:$X$640,21,FALSE),""),"")</f>
        <v/>
      </c>
      <c r="I63" s="266" t="str">
        <f>IF(B63&lt;&gt;"",IF(VLOOKUP(B63,Items!$A$616:$X$640,22,FALSE)&lt;&gt;0,VLOOKUP(B63,Items!$A$616:$X$640,22,FALSE),""),"")</f>
        <v/>
      </c>
      <c r="J63" s="248" t="str">
        <f>IF(B63&lt;&gt;"",IF(VLOOKUP(B63,Items!$A$616:$X$640,23,FALSE)&lt;&gt;0,VLOOKUP(B63,Items!$A$616:$X$640,23,FALSE),""),"")</f>
        <v/>
      </c>
      <c r="K63" s="267" t="str">
        <f>IF(B63&lt;&gt;"",IF(VLOOKUP(B63,Items!$A$616:$X$640,24,FALSE)&lt;&gt;0,VLOOKUP(B63,Items!$A$616:$X$640,24,FALSE),""),"")</f>
        <v/>
      </c>
      <c r="L63" s="266"/>
      <c r="M63" s="248"/>
      <c r="N63" s="248"/>
      <c r="O63" s="266"/>
      <c r="P63" s="264"/>
      <c r="Q63" s="267"/>
    </row>
    <row r="64" spans="1:17" hidden="1">
      <c r="A64" s="261" t="s">
        <v>1150</v>
      </c>
      <c r="B64" s="262"/>
      <c r="C64" s="249" t="str">
        <f>IF(B64&lt;&gt;"",VLOOKUP(B64,Items!$A$616:$X$640,15,FALSE),"")</f>
        <v/>
      </c>
      <c r="D64" s="249" t="str">
        <f>IF(B64&lt;&gt;"",VLOOKUP(B64,Items!$A$616:$X$640,16,FALSE),"")</f>
        <v/>
      </c>
      <c r="E64" s="263" t="str">
        <f>IF(B64&lt;&gt;"",VLOOKUP(B64,Items!$A$616:$X$640,17,FALSE),"")</f>
        <v/>
      </c>
      <c r="F64" s="264" t="str">
        <f>IF(B64&lt;&gt;"",IF(VLOOKUP(B64,Items!$A$616:$X$640,19,FALSE)&lt;&gt;0,VLOOKUP(B64,Items!$A$616:$X$640,19,FALSE),""),"")</f>
        <v/>
      </c>
      <c r="G64" s="265" t="str">
        <f>IF(B64&lt;&gt;"",IF(VLOOKUP(B64,Items!$A$616:$X$640,20,FALSE)&lt;&gt;0,VLOOKUP(B64,Items!$A$616:$X$640,20,FALSE),""),"")</f>
        <v/>
      </c>
      <c r="H64" s="248" t="str">
        <f>IF(B64&lt;&gt;"",IF(VLOOKUP(B64,Items!$A$616:$X$640,21,FALSE)&lt;&gt;0,VLOOKUP(B64,Items!$A$616:$X$640,21,FALSE),""),"")</f>
        <v/>
      </c>
      <c r="I64" s="266" t="str">
        <f>IF(B64&lt;&gt;"",IF(VLOOKUP(B64,Items!$A$616:$X$640,22,FALSE)&lt;&gt;0,VLOOKUP(B64,Items!$A$616:$X$640,22,FALSE),""),"")</f>
        <v/>
      </c>
      <c r="J64" s="248" t="str">
        <f>IF(B64&lt;&gt;"",IF(VLOOKUP(B64,Items!$A$616:$X$640,23,FALSE)&lt;&gt;0,VLOOKUP(B64,Items!$A$616:$X$640,23,FALSE),""),"")</f>
        <v/>
      </c>
      <c r="K64" s="267" t="str">
        <f>IF(B64&lt;&gt;"",IF(VLOOKUP(B64,Items!$A$616:$X$640,24,FALSE)&lt;&gt;0,VLOOKUP(B64,Items!$A$616:$X$640,24,FALSE),""),"")</f>
        <v/>
      </c>
      <c r="L64" s="266"/>
      <c r="M64" s="248"/>
      <c r="N64" s="248"/>
      <c r="O64" s="266"/>
      <c r="P64" s="264"/>
      <c r="Q64" s="267"/>
    </row>
    <row r="65" spans="1:17" hidden="1">
      <c r="A65" s="261" t="s">
        <v>1151</v>
      </c>
      <c r="B65" s="262"/>
      <c r="C65" s="249" t="str">
        <f>IF(B65&lt;&gt;"",VLOOKUP(B65,Items!$A$616:$X$640,15,FALSE),"")</f>
        <v/>
      </c>
      <c r="D65" s="249" t="str">
        <f>IF(B65&lt;&gt;"",VLOOKUP(B65,Items!$A$616:$X$640,16,FALSE),"")</f>
        <v/>
      </c>
      <c r="E65" s="263" t="str">
        <f>IF(B65&lt;&gt;"",VLOOKUP(B65,Items!$A$616:$X$640,17,FALSE),"")</f>
        <v/>
      </c>
      <c r="F65" s="264" t="str">
        <f>IF(B65&lt;&gt;"",IF(VLOOKUP(B65,Items!$A$616:$X$640,19,FALSE)&lt;&gt;0,VLOOKUP(B65,Items!$A$616:$X$640,19,FALSE),""),"")</f>
        <v/>
      </c>
      <c r="G65" s="265" t="str">
        <f>IF(B65&lt;&gt;"",IF(VLOOKUP(B65,Items!$A$616:$X$640,20,FALSE)&lt;&gt;0,VLOOKUP(B65,Items!$A$616:$X$640,20,FALSE),""),"")</f>
        <v/>
      </c>
      <c r="H65" s="248" t="str">
        <f>IF(B65&lt;&gt;"",IF(VLOOKUP(B65,Items!$A$616:$X$640,21,FALSE)&lt;&gt;0,VLOOKUP(B65,Items!$A$616:$X$640,21,FALSE),""),"")</f>
        <v/>
      </c>
      <c r="I65" s="266" t="str">
        <f>IF(B65&lt;&gt;"",IF(VLOOKUP(B65,Items!$A$616:$X$640,22,FALSE)&lt;&gt;0,VLOOKUP(B65,Items!$A$616:$X$640,22,FALSE),""),"")</f>
        <v/>
      </c>
      <c r="J65" s="248" t="str">
        <f>IF(B65&lt;&gt;"",IF(VLOOKUP(B65,Items!$A$616:$X$640,23,FALSE)&lt;&gt;0,VLOOKUP(B65,Items!$A$616:$X$640,23,FALSE),""),"")</f>
        <v/>
      </c>
      <c r="K65" s="267" t="str">
        <f>IF(B65&lt;&gt;"",IF(VLOOKUP(B65,Items!$A$616:$X$640,24,FALSE)&lt;&gt;0,VLOOKUP(B65,Items!$A$616:$X$640,24,FALSE),""),"")</f>
        <v/>
      </c>
      <c r="L65" s="266"/>
      <c r="M65" s="248"/>
      <c r="N65" s="248"/>
      <c r="O65" s="266"/>
      <c r="P65" s="264"/>
      <c r="Q65" s="267"/>
    </row>
    <row r="66" spans="1:17">
      <c r="A66" s="247" t="s">
        <v>633</v>
      </c>
      <c r="B66" s="271">
        <f>F66*100+C67+D67+E67+1</f>
        <v>4</v>
      </c>
      <c r="C66" s="249"/>
      <c r="D66" s="249"/>
      <c r="E66" s="272"/>
      <c r="F66" s="266">
        <v>0.01</v>
      </c>
      <c r="G66" s="248" t="str">
        <f>VLOOKUP(B37,Misc!$AA$38:$AE$46,2,FALSE)</f>
        <v>Harass</v>
      </c>
      <c r="H66" s="273" t="s">
        <v>572</v>
      </c>
      <c r="I66" s="266"/>
      <c r="J66" s="248"/>
      <c r="K66" s="267"/>
      <c r="L66" s="247"/>
      <c r="M66" s="249"/>
      <c r="N66" s="248"/>
      <c r="O66" s="274"/>
      <c r="P66" s="248"/>
      <c r="Q66" s="267"/>
    </row>
    <row r="67" spans="1:17">
      <c r="A67" s="247" t="s">
        <v>632</v>
      </c>
      <c r="C67" s="275">
        <v>2</v>
      </c>
      <c r="D67" s="275">
        <v>0</v>
      </c>
      <c r="E67" s="275">
        <v>0</v>
      </c>
      <c r="F67" s="276"/>
      <c r="G67" s="248"/>
      <c r="H67" s="248"/>
      <c r="I67" s="277"/>
      <c r="J67" s="248"/>
      <c r="K67" s="267"/>
      <c r="L67" s="323"/>
      <c r="M67" s="324"/>
      <c r="N67" s="278" t="s">
        <v>561</v>
      </c>
      <c r="O67" s="279" t="s">
        <v>562</v>
      </c>
      <c r="P67" s="280" t="s">
        <v>563</v>
      </c>
      <c r="Q67" s="281"/>
    </row>
    <row r="68" spans="1:17">
      <c r="A68" s="270" t="s">
        <v>634</v>
      </c>
      <c r="B68" s="248"/>
      <c r="C68" s="249">
        <f>C67*2+SUM(C38:C43)</f>
        <v>4</v>
      </c>
      <c r="D68" s="249">
        <f>D67*2+SUM(D38:D43)</f>
        <v>0</v>
      </c>
      <c r="E68" s="249">
        <f>E67*2+SUM(E38:E43)</f>
        <v>0</v>
      </c>
      <c r="F68" s="282" t="s">
        <v>818</v>
      </c>
      <c r="G68" s="283" t="str">
        <f>convertPercentage(F38:Q66,"Fight",IF(L67="",'Stats Scores'!$AP$2,L67))</f>
        <v>0%</v>
      </c>
      <c r="H68" s="284" t="s">
        <v>825</v>
      </c>
      <c r="I68" s="283" t="str">
        <f>convertPercentage(F38:Q66,"Barter",IF(L67="",'Stats Scores'!$AP$2,L67))</f>
        <v>0%</v>
      </c>
      <c r="J68" s="258" t="s">
        <v>827</v>
      </c>
      <c r="K68" s="285" t="str">
        <f>convertPercentage(F38:Q66,"Spy",IF(L67="",'Stats Scores'!$AP$2,L67))</f>
        <v>0%</v>
      </c>
      <c r="L68" s="325" t="s">
        <v>819</v>
      </c>
      <c r="M68" s="326"/>
      <c r="N68" s="286">
        <f>ROUNDUP(getscore(C70,G68,"Fight",L67),0)</f>
        <v>25</v>
      </c>
      <c r="O68" s="286">
        <f>ROUNDUP(getscore(D70,I68,"Barter",L67),0)</f>
        <v>13</v>
      </c>
      <c r="P68" s="287">
        <f>ROUNDUP(getscore(E70,K68,"Spy",L67),0)</f>
        <v>15</v>
      </c>
      <c r="Q68" s="288"/>
    </row>
    <row r="69" spans="1:17">
      <c r="B69" s="273"/>
      <c r="C69" s="249"/>
      <c r="D69" s="249"/>
      <c r="E69" s="249"/>
      <c r="F69" s="282" t="s">
        <v>753</v>
      </c>
      <c r="G69" s="289" t="str">
        <f>convertPercentage(F38:Q66,"Harass",IF(L67="",'Stats Scores'!$AP$2,L67))</f>
        <v>1%</v>
      </c>
      <c r="H69" s="273" t="s">
        <v>829</v>
      </c>
      <c r="I69" s="289" t="str">
        <f>convertPercentage(F38:Q66,"Swindle",IF(L67="",'Stats Scores'!$AP$2,L67))</f>
        <v>0%</v>
      </c>
      <c r="J69" s="248" t="s">
        <v>828</v>
      </c>
      <c r="K69" s="290" t="str">
        <f>convertPercentage(F38:Q66,"Sabotage",IF(L67="",'Stats Scores'!$AP$2,L67))</f>
        <v>0%</v>
      </c>
      <c r="L69" s="325" t="s">
        <v>820</v>
      </c>
      <c r="M69" s="326"/>
      <c r="N69" s="286">
        <f>ROUNDUP(getscore(C70,G69,"Harass",L67),0)</f>
        <v>26</v>
      </c>
      <c r="O69" s="286">
        <f>ROUNDUP(getscore(D70,I69,"Swindle",L67),0)</f>
        <v>13</v>
      </c>
      <c r="P69" s="287">
        <f>ROUNDUP(getscore(E70,K69,"Sabotage",L67),0)</f>
        <v>15</v>
      </c>
      <c r="Q69" s="288"/>
    </row>
    <row r="70" spans="1:17">
      <c r="A70" s="291" t="s">
        <v>635</v>
      </c>
      <c r="B70" s="292"/>
      <c r="C70" s="293">
        <f>C44+C45+C52+C59+C68</f>
        <v>21</v>
      </c>
      <c r="D70" s="293">
        <f t="shared" ref="D70:E70" si="1">D44+D45+D52+D59+D68</f>
        <v>0</v>
      </c>
      <c r="E70" s="293">
        <f t="shared" si="1"/>
        <v>5</v>
      </c>
      <c r="F70" s="294" t="s">
        <v>824</v>
      </c>
      <c r="G70" s="295" t="str">
        <f>convertPercentage(F38:Q66,"Aid",IF(L67="",'Stats Scores'!$AP$2,L67))</f>
        <v>0%</v>
      </c>
      <c r="H70" s="292" t="s">
        <v>826</v>
      </c>
      <c r="I70" s="295" t="str">
        <f>convertPercentage(F38:Q66,"Bribe",IF(L67="",'Stats Scores'!$AP$2,L67))</f>
        <v>0%</v>
      </c>
      <c r="J70" s="292" t="s">
        <v>830</v>
      </c>
      <c r="K70" s="296" t="str">
        <f>convertPercentage(F38:Q66,"Steal",IF(L67="",'Stats Scores'!$AP$2,L67))</f>
        <v>0%</v>
      </c>
      <c r="L70" s="328" t="s">
        <v>821</v>
      </c>
      <c r="M70" s="329"/>
      <c r="N70" s="297">
        <f>ROUNDUP(getscore(C70,G70,"Aid",L67),0)</f>
        <v>25</v>
      </c>
      <c r="O70" s="297">
        <f>ROUNDUP(getscore(D70,I70,"Bribe",L67),0)</f>
        <v>18</v>
      </c>
      <c r="P70" s="298">
        <f>ROUNDUP(getscore(E70,K70,"Steal",L67),0)</f>
        <v>15</v>
      </c>
      <c r="Q70" s="299"/>
    </row>
    <row r="72" spans="1:17" ht="15" customHeight="1">
      <c r="A72" s="311"/>
      <c r="B72" s="262"/>
      <c r="C72" s="249"/>
      <c r="D72" s="249"/>
      <c r="E72" s="249"/>
      <c r="F72" s="249"/>
      <c r="G72" s="248"/>
      <c r="H72" s="248"/>
      <c r="I72" s="248"/>
      <c r="J72" s="248"/>
      <c r="K72" s="248"/>
      <c r="L72" s="248"/>
      <c r="M72" s="248"/>
      <c r="N72" s="248"/>
      <c r="O72" s="248"/>
      <c r="P72" s="248"/>
      <c r="Q72" s="248"/>
    </row>
    <row r="73" spans="1:17">
      <c r="A73" s="312"/>
      <c r="B73" s="262"/>
      <c r="C73" s="249"/>
      <c r="D73" s="249"/>
      <c r="E73" s="249"/>
      <c r="F73" s="264"/>
      <c r="G73" s="265"/>
      <c r="H73" s="248"/>
      <c r="I73" s="264"/>
      <c r="J73" s="248"/>
      <c r="K73" s="248"/>
      <c r="L73" s="248"/>
      <c r="M73" s="248"/>
      <c r="N73" s="248"/>
      <c r="O73" s="248"/>
      <c r="P73" s="248"/>
      <c r="Q73" s="248"/>
    </row>
    <row r="74" spans="1:17">
      <c r="A74" s="312"/>
      <c r="B74" s="262"/>
      <c r="C74" s="249"/>
      <c r="D74" s="249"/>
      <c r="E74" s="249"/>
      <c r="F74" s="264"/>
      <c r="G74" s="265"/>
      <c r="H74" s="248"/>
      <c r="I74" s="264"/>
      <c r="J74" s="248"/>
      <c r="K74" s="248"/>
      <c r="L74" s="248"/>
      <c r="M74" s="248"/>
      <c r="N74" s="248"/>
      <c r="O74" s="248"/>
      <c r="P74" s="248"/>
      <c r="Q74" s="248"/>
    </row>
    <row r="75" spans="1:17">
      <c r="A75" s="312"/>
      <c r="B75" s="262"/>
      <c r="C75" s="249"/>
      <c r="D75" s="249"/>
      <c r="E75" s="249"/>
      <c r="F75" s="264"/>
      <c r="G75" s="265"/>
      <c r="H75" s="248"/>
      <c r="I75" s="264"/>
      <c r="J75" s="248"/>
      <c r="K75" s="248"/>
      <c r="L75" s="248"/>
      <c r="M75" s="248"/>
      <c r="N75" s="248"/>
      <c r="O75" s="248"/>
      <c r="P75" s="248"/>
      <c r="Q75" s="248"/>
    </row>
    <row r="76" spans="1:17">
      <c r="A76" s="312"/>
      <c r="B76" s="262"/>
      <c r="C76" s="249"/>
      <c r="D76" s="249"/>
      <c r="E76" s="249"/>
      <c r="F76" s="264"/>
      <c r="G76" s="265"/>
      <c r="H76" s="248"/>
      <c r="I76" s="264"/>
      <c r="J76" s="248"/>
      <c r="K76" s="248"/>
      <c r="L76" s="248"/>
      <c r="M76" s="248"/>
      <c r="N76" s="248"/>
      <c r="O76" s="248"/>
      <c r="P76" s="248"/>
      <c r="Q76" s="248"/>
    </row>
    <row r="77" spans="1:17">
      <c r="A77" s="312"/>
      <c r="B77" s="262"/>
      <c r="C77" s="249"/>
      <c r="D77" s="249"/>
      <c r="E77" s="249"/>
      <c r="F77" s="264"/>
      <c r="G77" s="265"/>
      <c r="H77" s="248"/>
      <c r="I77" s="264"/>
      <c r="J77" s="248"/>
      <c r="K77" s="248"/>
      <c r="L77" s="248"/>
      <c r="M77" s="248"/>
      <c r="N77" s="248"/>
      <c r="O77" s="248"/>
      <c r="P77" s="248"/>
      <c r="Q77" s="248"/>
    </row>
    <row r="78" spans="1:17">
      <c r="A78" s="312"/>
      <c r="B78" s="262"/>
      <c r="C78" s="249"/>
      <c r="D78" s="249"/>
      <c r="E78" s="249"/>
      <c r="F78" s="264"/>
      <c r="G78" s="265"/>
      <c r="H78" s="248"/>
      <c r="I78" s="264"/>
      <c r="J78" s="248"/>
      <c r="K78" s="248"/>
      <c r="L78" s="248"/>
      <c r="M78" s="248"/>
      <c r="N78" s="248"/>
      <c r="O78" s="248"/>
      <c r="P78" s="248"/>
      <c r="Q78" s="248"/>
    </row>
    <row r="79" spans="1:17">
      <c r="A79" s="248"/>
      <c r="B79" s="262"/>
      <c r="C79" s="249"/>
      <c r="D79" s="249"/>
      <c r="E79" s="249"/>
      <c r="F79" s="264"/>
      <c r="G79" s="248"/>
      <c r="H79" s="248"/>
      <c r="I79" s="248"/>
      <c r="J79" s="248"/>
      <c r="K79" s="248"/>
      <c r="L79" s="248"/>
      <c r="M79" s="249"/>
      <c r="N79" s="248"/>
      <c r="O79" s="264"/>
      <c r="P79" s="249"/>
      <c r="Q79" s="248"/>
    </row>
    <row r="80" spans="1:17">
      <c r="A80" s="248"/>
      <c r="B80" s="268"/>
      <c r="C80" s="249"/>
      <c r="D80" s="249"/>
      <c r="E80" s="249"/>
      <c r="F80" s="264"/>
      <c r="G80" s="269"/>
      <c r="H80" s="248"/>
      <c r="I80" s="264"/>
      <c r="J80" s="265"/>
      <c r="K80" s="248"/>
      <c r="L80" s="264"/>
      <c r="M80" s="248"/>
      <c r="N80" s="248"/>
      <c r="O80" s="264"/>
      <c r="P80" s="264"/>
      <c r="Q80" s="248"/>
    </row>
    <row r="81" spans="1:17">
      <c r="A81" s="312"/>
      <c r="B81" s="248"/>
      <c r="C81" s="249"/>
      <c r="D81" s="249"/>
      <c r="E81" s="249"/>
      <c r="F81" s="264"/>
      <c r="G81" s="265"/>
      <c r="H81" s="248"/>
      <c r="I81" s="264"/>
      <c r="J81" s="248"/>
      <c r="K81" s="248"/>
      <c r="L81" s="264"/>
      <c r="M81" s="248"/>
      <c r="N81" s="248"/>
      <c r="O81" s="264"/>
      <c r="P81" s="264"/>
      <c r="Q81" s="248"/>
    </row>
    <row r="82" spans="1:17">
      <c r="A82" s="312"/>
      <c r="B82" s="248"/>
      <c r="C82" s="249"/>
      <c r="D82" s="249"/>
      <c r="E82" s="249"/>
      <c r="F82" s="264"/>
      <c r="G82" s="265"/>
      <c r="H82" s="248"/>
      <c r="I82" s="264"/>
      <c r="J82" s="248"/>
      <c r="K82" s="248"/>
      <c r="L82" s="264"/>
      <c r="M82" s="248"/>
      <c r="N82" s="248"/>
      <c r="O82" s="264"/>
      <c r="P82" s="264"/>
      <c r="Q82" s="248"/>
    </row>
    <row r="83" spans="1:17">
      <c r="A83" s="312"/>
      <c r="B83" s="262"/>
      <c r="C83" s="249"/>
      <c r="D83" s="249"/>
      <c r="E83" s="249"/>
      <c r="F83" s="264"/>
      <c r="G83" s="265"/>
      <c r="H83" s="248"/>
      <c r="I83" s="264"/>
      <c r="J83" s="248"/>
      <c r="K83" s="248"/>
      <c r="L83" s="264"/>
      <c r="M83" s="248"/>
      <c r="N83" s="248"/>
      <c r="O83" s="264"/>
      <c r="P83" s="264"/>
      <c r="Q83" s="248"/>
    </row>
    <row r="84" spans="1:17">
      <c r="A84" s="312"/>
      <c r="B84" s="262"/>
      <c r="C84" s="249"/>
      <c r="D84" s="249"/>
      <c r="E84" s="249"/>
      <c r="F84" s="264"/>
      <c r="G84" s="265"/>
      <c r="H84" s="248"/>
      <c r="I84" s="264"/>
      <c r="J84" s="248"/>
      <c r="K84" s="248"/>
      <c r="L84" s="264"/>
      <c r="M84" s="248"/>
      <c r="N84" s="248"/>
      <c r="O84" s="264"/>
      <c r="P84" s="264"/>
      <c r="Q84" s="248"/>
    </row>
    <row r="85" spans="1:17">
      <c r="A85" s="312"/>
      <c r="B85" s="262"/>
      <c r="C85" s="249"/>
      <c r="D85" s="249"/>
      <c r="E85" s="249"/>
      <c r="F85" s="264"/>
      <c r="G85" s="265"/>
      <c r="H85" s="248"/>
      <c r="I85" s="264"/>
      <c r="J85" s="248"/>
      <c r="K85" s="248"/>
      <c r="L85" s="264"/>
      <c r="M85" s="248"/>
      <c r="N85" s="248"/>
      <c r="O85" s="264"/>
      <c r="P85" s="264"/>
      <c r="Q85" s="248"/>
    </row>
    <row r="86" spans="1:17">
      <c r="A86" s="312"/>
      <c r="B86" s="262"/>
      <c r="C86" s="249"/>
      <c r="D86" s="249"/>
      <c r="E86" s="249"/>
      <c r="F86" s="264"/>
      <c r="G86" s="265"/>
      <c r="H86" s="248"/>
      <c r="I86" s="264"/>
      <c r="J86" s="248"/>
      <c r="K86" s="248"/>
      <c r="L86" s="264"/>
      <c r="M86" s="248"/>
      <c r="N86" s="248"/>
      <c r="O86" s="264"/>
      <c r="P86" s="264"/>
      <c r="Q86" s="248"/>
    </row>
    <row r="87" spans="1:17">
      <c r="A87" s="248"/>
      <c r="B87" s="268"/>
      <c r="C87" s="249"/>
      <c r="D87" s="249"/>
      <c r="E87" s="249"/>
      <c r="F87" s="264"/>
      <c r="G87" s="269"/>
      <c r="H87" s="248"/>
      <c r="I87" s="264"/>
      <c r="J87" s="265"/>
      <c r="K87" s="248"/>
      <c r="L87" s="264"/>
      <c r="M87" s="248"/>
      <c r="N87" s="248"/>
      <c r="O87" s="264"/>
      <c r="P87" s="264"/>
      <c r="Q87" s="248"/>
    </row>
    <row r="88" spans="1:17">
      <c r="A88" s="312"/>
      <c r="B88" s="262"/>
      <c r="C88" s="249"/>
      <c r="D88" s="249"/>
      <c r="E88" s="249"/>
      <c r="F88" s="264"/>
      <c r="G88" s="265"/>
      <c r="H88" s="248"/>
      <c r="I88" s="264"/>
      <c r="J88" s="248"/>
      <c r="K88" s="248"/>
      <c r="L88" s="264"/>
      <c r="M88" s="248"/>
      <c r="N88" s="248"/>
      <c r="O88" s="264"/>
      <c r="P88" s="264"/>
      <c r="Q88" s="248"/>
    </row>
    <row r="89" spans="1:17">
      <c r="A89" s="312"/>
      <c r="B89" s="262"/>
      <c r="C89" s="249"/>
      <c r="D89" s="249"/>
      <c r="E89" s="249"/>
      <c r="F89" s="264"/>
      <c r="G89" s="265"/>
      <c r="H89" s="248"/>
      <c r="I89" s="264"/>
      <c r="J89" s="248"/>
      <c r="K89" s="248"/>
      <c r="L89" s="264"/>
      <c r="M89" s="248"/>
      <c r="N89" s="248"/>
      <c r="O89" s="264"/>
      <c r="P89" s="264"/>
      <c r="Q89" s="248"/>
    </row>
    <row r="90" spans="1:17">
      <c r="A90" s="312"/>
      <c r="B90" s="262"/>
      <c r="C90" s="249"/>
      <c r="D90" s="249"/>
      <c r="E90" s="249"/>
      <c r="F90" s="264"/>
      <c r="G90" s="265"/>
      <c r="H90" s="248"/>
      <c r="I90" s="264"/>
      <c r="J90" s="248"/>
      <c r="K90" s="248"/>
      <c r="L90" s="264"/>
      <c r="M90" s="248"/>
      <c r="N90" s="248"/>
      <c r="O90" s="264"/>
      <c r="P90" s="264"/>
      <c r="Q90" s="248"/>
    </row>
    <row r="91" spans="1:17">
      <c r="A91" s="312"/>
      <c r="B91" s="262"/>
      <c r="C91" s="249"/>
      <c r="D91" s="249"/>
      <c r="E91" s="249"/>
      <c r="F91" s="264"/>
      <c r="G91" s="265"/>
      <c r="H91" s="248"/>
      <c r="I91" s="264"/>
      <c r="J91" s="248"/>
      <c r="K91" s="248"/>
      <c r="L91" s="264"/>
      <c r="M91" s="248"/>
      <c r="N91" s="248"/>
      <c r="O91" s="264"/>
      <c r="P91" s="264"/>
      <c r="Q91" s="248"/>
    </row>
    <row r="92" spans="1:17">
      <c r="A92" s="312"/>
      <c r="B92" s="262"/>
      <c r="C92" s="249"/>
      <c r="D92" s="249"/>
      <c r="E92" s="249"/>
      <c r="F92" s="264"/>
      <c r="G92" s="265"/>
      <c r="H92" s="248"/>
      <c r="I92" s="264"/>
      <c r="J92" s="248"/>
      <c r="K92" s="248"/>
      <c r="L92" s="264"/>
      <c r="M92" s="248"/>
      <c r="N92" s="248"/>
      <c r="O92" s="264"/>
      <c r="P92" s="264"/>
      <c r="Q92" s="248"/>
    </row>
    <row r="93" spans="1:17">
      <c r="A93" s="312"/>
      <c r="B93" s="262"/>
      <c r="C93" s="249"/>
      <c r="D93" s="249"/>
      <c r="E93" s="249"/>
      <c r="F93" s="264"/>
      <c r="G93" s="265"/>
      <c r="H93" s="248"/>
      <c r="I93" s="264"/>
      <c r="J93" s="248"/>
      <c r="K93" s="248"/>
      <c r="L93" s="264"/>
      <c r="M93" s="248"/>
      <c r="N93" s="248"/>
      <c r="O93" s="264"/>
      <c r="P93" s="264"/>
      <c r="Q93" s="248"/>
    </row>
    <row r="94" spans="1:17">
      <c r="A94" s="273"/>
      <c r="B94" s="268"/>
      <c r="C94" s="249"/>
      <c r="D94" s="249"/>
      <c r="E94" s="249"/>
      <c r="F94" s="264"/>
      <c r="G94" s="269"/>
      <c r="H94" s="248"/>
      <c r="I94" s="264"/>
      <c r="J94" s="265"/>
      <c r="K94" s="248"/>
      <c r="L94" s="264"/>
      <c r="M94" s="248"/>
      <c r="N94" s="248"/>
      <c r="O94" s="264"/>
      <c r="P94" s="264"/>
      <c r="Q94" s="248"/>
    </row>
    <row r="95" spans="1:17">
      <c r="A95" s="312"/>
      <c r="B95" s="262"/>
      <c r="C95" s="249"/>
      <c r="D95" s="249"/>
      <c r="E95" s="249"/>
      <c r="F95" s="264"/>
      <c r="G95" s="265"/>
      <c r="H95" s="248"/>
      <c r="I95" s="264"/>
      <c r="J95" s="248"/>
      <c r="K95" s="248"/>
      <c r="L95" s="264"/>
      <c r="M95" s="248"/>
      <c r="N95" s="248"/>
      <c r="O95" s="264"/>
      <c r="P95" s="264"/>
      <c r="Q95" s="248"/>
    </row>
    <row r="96" spans="1:17">
      <c r="A96" s="312"/>
      <c r="B96" s="262"/>
      <c r="C96" s="249"/>
      <c r="D96" s="249"/>
      <c r="E96" s="249"/>
      <c r="F96" s="264"/>
      <c r="G96" s="265"/>
      <c r="H96" s="248"/>
      <c r="I96" s="264"/>
      <c r="J96" s="248"/>
      <c r="K96" s="248"/>
      <c r="L96" s="264"/>
      <c r="M96" s="248"/>
      <c r="N96" s="248"/>
      <c r="O96" s="264"/>
      <c r="P96" s="264"/>
      <c r="Q96" s="248"/>
    </row>
    <row r="97" spans="1:17">
      <c r="A97" s="312"/>
      <c r="B97" s="262"/>
      <c r="C97" s="249"/>
      <c r="D97" s="249"/>
      <c r="E97" s="249"/>
      <c r="F97" s="264"/>
      <c r="G97" s="265"/>
      <c r="H97" s="248"/>
      <c r="I97" s="264"/>
      <c r="J97" s="248"/>
      <c r="K97" s="248"/>
      <c r="L97" s="264"/>
      <c r="M97" s="248"/>
      <c r="N97" s="248"/>
      <c r="O97" s="264"/>
      <c r="P97" s="264"/>
      <c r="Q97" s="248"/>
    </row>
    <row r="98" spans="1:17">
      <c r="A98" s="312"/>
      <c r="B98" s="262"/>
      <c r="C98" s="249"/>
      <c r="D98" s="249"/>
      <c r="E98" s="249"/>
      <c r="F98" s="264"/>
      <c r="G98" s="265"/>
      <c r="H98" s="248"/>
      <c r="I98" s="264"/>
      <c r="J98" s="248"/>
      <c r="K98" s="248"/>
      <c r="L98" s="264"/>
      <c r="M98" s="248"/>
      <c r="N98" s="248"/>
      <c r="O98" s="264"/>
      <c r="P98" s="264"/>
      <c r="Q98" s="248"/>
    </row>
    <row r="99" spans="1:17">
      <c r="A99" s="312"/>
      <c r="B99" s="262"/>
      <c r="C99" s="249"/>
      <c r="D99" s="249"/>
      <c r="E99" s="249"/>
      <c r="F99" s="264"/>
      <c r="G99" s="265"/>
      <c r="H99" s="248"/>
      <c r="I99" s="264"/>
      <c r="J99" s="248"/>
      <c r="K99" s="248"/>
      <c r="L99" s="264"/>
      <c r="M99" s="248"/>
      <c r="N99" s="248"/>
      <c r="O99" s="264"/>
      <c r="P99" s="264"/>
      <c r="Q99" s="248"/>
    </row>
    <row r="100" spans="1:17">
      <c r="A100" s="312"/>
      <c r="B100" s="262"/>
      <c r="C100" s="249"/>
      <c r="D100" s="249"/>
      <c r="E100" s="249"/>
      <c r="F100" s="264"/>
      <c r="G100" s="265"/>
      <c r="H100" s="248"/>
      <c r="I100" s="264"/>
      <c r="J100" s="248"/>
      <c r="K100" s="248"/>
      <c r="L100" s="264"/>
      <c r="M100" s="248"/>
      <c r="N100" s="248"/>
      <c r="O100" s="264"/>
      <c r="P100" s="264"/>
      <c r="Q100" s="248"/>
    </row>
    <row r="101" spans="1:17">
      <c r="A101" s="248"/>
      <c r="B101" s="271"/>
      <c r="C101" s="249"/>
      <c r="D101" s="249"/>
      <c r="E101" s="272"/>
      <c r="F101" s="264"/>
      <c r="G101" s="248"/>
      <c r="H101" s="273"/>
      <c r="I101" s="264"/>
      <c r="J101" s="248"/>
      <c r="K101" s="248"/>
      <c r="L101" s="248"/>
      <c r="M101" s="249"/>
      <c r="N101" s="248"/>
      <c r="O101" s="264"/>
      <c r="P101" s="248"/>
      <c r="Q101" s="248"/>
    </row>
    <row r="102" spans="1:17">
      <c r="A102" s="248"/>
      <c r="B102" s="248"/>
      <c r="C102" s="275"/>
      <c r="D102" s="275"/>
      <c r="E102" s="275"/>
      <c r="F102" s="249"/>
      <c r="G102" s="248"/>
      <c r="H102" s="248"/>
      <c r="I102" s="248"/>
      <c r="J102" s="248"/>
      <c r="K102" s="248"/>
      <c r="L102" s="327"/>
      <c r="M102" s="327"/>
      <c r="N102" s="275"/>
      <c r="O102" s="275"/>
      <c r="P102" s="275"/>
      <c r="Q102" s="248"/>
    </row>
    <row r="103" spans="1:17">
      <c r="A103" s="273"/>
      <c r="B103" s="248"/>
      <c r="C103" s="249"/>
      <c r="D103" s="249"/>
      <c r="E103" s="249"/>
      <c r="F103" s="301"/>
      <c r="G103" s="289"/>
      <c r="H103" s="273"/>
      <c r="I103" s="289"/>
      <c r="J103" s="248"/>
      <c r="K103" s="289"/>
      <c r="L103" s="326"/>
      <c r="M103" s="326"/>
      <c r="N103" s="286"/>
      <c r="O103" s="286"/>
      <c r="P103" s="286"/>
      <c r="Q103" s="248"/>
    </row>
    <row r="104" spans="1:17">
      <c r="A104" s="248"/>
      <c r="B104" s="273"/>
      <c r="C104" s="249"/>
      <c r="D104" s="249"/>
      <c r="E104" s="249"/>
      <c r="F104" s="301"/>
      <c r="G104" s="289"/>
      <c r="H104" s="273"/>
      <c r="I104" s="289"/>
      <c r="J104" s="248"/>
      <c r="K104" s="289"/>
      <c r="L104" s="326"/>
      <c r="M104" s="326"/>
      <c r="N104" s="286"/>
      <c r="O104" s="286"/>
      <c r="P104" s="286"/>
      <c r="Q104" s="248"/>
    </row>
    <row r="105" spans="1:17">
      <c r="A105" s="313"/>
      <c r="B105" s="248"/>
      <c r="C105" s="249"/>
      <c r="D105" s="249"/>
      <c r="E105" s="249"/>
      <c r="F105" s="301"/>
      <c r="G105" s="289"/>
      <c r="H105" s="248"/>
      <c r="I105" s="289"/>
      <c r="J105" s="248"/>
      <c r="K105" s="289"/>
      <c r="L105" s="326"/>
      <c r="M105" s="326"/>
      <c r="N105" s="286"/>
      <c r="O105" s="286"/>
      <c r="P105" s="286"/>
      <c r="Q105" s="248"/>
    </row>
    <row r="106" spans="1:17">
      <c r="A106" s="313"/>
      <c r="B106" s="248"/>
      <c r="C106" s="249"/>
      <c r="D106" s="249"/>
      <c r="E106" s="249"/>
      <c r="F106" s="301"/>
      <c r="G106" s="289"/>
      <c r="H106" s="248"/>
      <c r="I106" s="289"/>
      <c r="J106" s="248"/>
      <c r="K106" s="289"/>
      <c r="L106" s="307"/>
      <c r="M106" s="307"/>
      <c r="N106" s="286"/>
      <c r="O106" s="286"/>
      <c r="P106" s="286"/>
      <c r="Q106" s="248"/>
    </row>
    <row r="107" spans="1:17" ht="17.25" customHeight="1">
      <c r="A107" s="99"/>
      <c r="B107" s="201"/>
      <c r="C107" s="308"/>
      <c r="D107" s="308"/>
      <c r="E107" s="308"/>
      <c r="F107" s="308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</row>
    <row r="108" spans="1:17">
      <c r="A108" s="99"/>
      <c r="B108" s="201"/>
      <c r="C108" s="308"/>
      <c r="D108" s="308"/>
      <c r="E108" s="308"/>
      <c r="F108" s="127"/>
      <c r="G108" s="161"/>
      <c r="H108" s="9"/>
      <c r="I108" s="127"/>
      <c r="J108" s="9"/>
      <c r="K108" s="9"/>
      <c r="L108" s="9"/>
      <c r="M108" s="9"/>
      <c r="N108" s="9"/>
      <c r="O108" s="9"/>
      <c r="P108" s="9"/>
      <c r="Q108" s="9"/>
    </row>
    <row r="109" spans="1:17">
      <c r="A109" s="99"/>
      <c r="B109" s="201"/>
      <c r="C109" s="308"/>
      <c r="D109" s="308"/>
      <c r="E109" s="308"/>
      <c r="F109" s="127"/>
      <c r="G109" s="161"/>
      <c r="H109" s="9"/>
      <c r="I109" s="127"/>
      <c r="J109" s="9"/>
      <c r="K109" s="9"/>
      <c r="L109" s="9"/>
      <c r="M109" s="9"/>
      <c r="N109" s="9"/>
      <c r="O109" s="9"/>
      <c r="P109" s="9"/>
      <c r="Q109" s="9"/>
    </row>
    <row r="110" spans="1:17">
      <c r="A110" s="99"/>
      <c r="B110" s="201"/>
      <c r="C110" s="308"/>
      <c r="D110" s="308"/>
      <c r="E110" s="308"/>
      <c r="F110" s="127"/>
      <c r="G110" s="161"/>
      <c r="H110" s="9"/>
      <c r="I110" s="127"/>
      <c r="J110" s="9"/>
      <c r="K110" s="9"/>
      <c r="L110" s="9"/>
      <c r="M110" s="9"/>
      <c r="N110" s="9"/>
      <c r="O110" s="9"/>
      <c r="P110" s="9"/>
      <c r="Q110" s="9"/>
    </row>
    <row r="111" spans="1:17">
      <c r="A111" s="99"/>
      <c r="B111" s="201"/>
      <c r="C111" s="308"/>
      <c r="D111" s="308"/>
      <c r="E111" s="308"/>
      <c r="F111" s="127"/>
      <c r="G111" s="161"/>
      <c r="H111" s="9"/>
      <c r="I111" s="127"/>
      <c r="J111" s="9"/>
      <c r="K111" s="9"/>
      <c r="L111" s="9"/>
      <c r="M111" s="9"/>
      <c r="N111" s="9"/>
      <c r="O111" s="9"/>
      <c r="P111" s="9"/>
      <c r="Q111" s="9"/>
    </row>
    <row r="112" spans="1:17">
      <c r="A112" s="99"/>
      <c r="B112" s="201"/>
      <c r="C112" s="308"/>
      <c r="D112" s="308"/>
      <c r="E112" s="308"/>
      <c r="F112" s="127"/>
      <c r="G112" s="161"/>
      <c r="H112" s="9"/>
      <c r="I112" s="127"/>
      <c r="J112" s="9"/>
      <c r="K112" s="9"/>
      <c r="L112" s="9"/>
      <c r="M112" s="9"/>
      <c r="N112" s="9"/>
      <c r="O112" s="9"/>
      <c r="P112" s="9"/>
      <c r="Q112" s="9"/>
    </row>
    <row r="113" spans="1:17">
      <c r="A113" s="99"/>
      <c r="B113" s="201"/>
      <c r="C113" s="308"/>
      <c r="D113" s="308"/>
      <c r="E113" s="308"/>
      <c r="F113" s="127"/>
      <c r="G113" s="161"/>
      <c r="H113" s="9"/>
      <c r="I113" s="127"/>
      <c r="J113" s="9"/>
      <c r="K113" s="9"/>
      <c r="L113" s="9"/>
      <c r="M113" s="9"/>
      <c r="N113" s="9"/>
      <c r="O113" s="9"/>
      <c r="P113" s="9"/>
      <c r="Q113" s="9"/>
    </row>
    <row r="114" spans="1:17">
      <c r="A114" s="9"/>
      <c r="B114" s="201"/>
      <c r="C114" s="308"/>
      <c r="D114" s="308"/>
      <c r="E114" s="308"/>
      <c r="F114" s="127"/>
      <c r="G114" s="9"/>
      <c r="H114" s="9"/>
      <c r="I114" s="9"/>
      <c r="J114" s="9"/>
      <c r="K114" s="9"/>
      <c r="L114" s="9"/>
      <c r="M114" s="308"/>
      <c r="N114" s="9"/>
      <c r="O114" s="127"/>
      <c r="P114" s="308"/>
      <c r="Q114" s="9"/>
    </row>
    <row r="115" spans="1:17">
      <c r="A115" s="9"/>
      <c r="B115" s="205"/>
      <c r="C115" s="308"/>
      <c r="D115" s="308"/>
      <c r="E115" s="308"/>
      <c r="F115" s="127"/>
      <c r="G115" s="118"/>
      <c r="H115" s="9"/>
      <c r="I115" s="127"/>
      <c r="J115" s="161"/>
      <c r="K115" s="9"/>
      <c r="L115" s="127"/>
      <c r="M115" s="9"/>
      <c r="N115" s="9"/>
      <c r="O115" s="127"/>
      <c r="P115" s="127"/>
      <c r="Q115" s="9"/>
    </row>
    <row r="116" spans="1:17">
      <c r="A116" s="99"/>
      <c r="B116" s="206"/>
      <c r="C116" s="308"/>
      <c r="D116" s="308"/>
      <c r="E116" s="308"/>
      <c r="F116" s="127"/>
      <c r="G116" s="161"/>
      <c r="H116" s="9"/>
      <c r="I116" s="127"/>
      <c r="J116" s="9"/>
      <c r="K116" s="9"/>
      <c r="L116" s="127"/>
      <c r="M116" s="9"/>
      <c r="N116" s="9"/>
      <c r="O116" s="127"/>
      <c r="P116" s="127"/>
      <c r="Q116" s="9"/>
    </row>
    <row r="117" spans="1:17">
      <c r="A117" s="99"/>
      <c r="B117" s="206"/>
      <c r="C117" s="308"/>
      <c r="D117" s="308"/>
      <c r="E117" s="308"/>
      <c r="F117" s="127"/>
      <c r="G117" s="161"/>
      <c r="H117" s="9"/>
      <c r="I117" s="127"/>
      <c r="J117" s="9"/>
      <c r="K117" s="9"/>
      <c r="L117" s="127"/>
      <c r="M117" s="9"/>
      <c r="N117" s="9"/>
      <c r="O117" s="127"/>
      <c r="P117" s="127"/>
      <c r="Q117" s="9"/>
    </row>
    <row r="118" spans="1:17">
      <c r="A118" s="99"/>
      <c r="B118" s="201"/>
      <c r="C118" s="308"/>
      <c r="D118" s="308"/>
      <c r="E118" s="308"/>
      <c r="F118" s="127"/>
      <c r="G118" s="161"/>
      <c r="H118" s="9"/>
      <c r="I118" s="127"/>
      <c r="J118" s="9"/>
      <c r="K118" s="9"/>
      <c r="L118" s="127"/>
      <c r="M118" s="9"/>
      <c r="N118" s="9"/>
      <c r="O118" s="127"/>
      <c r="P118" s="127"/>
      <c r="Q118" s="9"/>
    </row>
    <row r="119" spans="1:17">
      <c r="A119" s="99"/>
      <c r="B119" s="201"/>
      <c r="C119" s="308"/>
      <c r="D119" s="308"/>
      <c r="E119" s="308"/>
      <c r="F119" s="127"/>
      <c r="G119" s="161"/>
      <c r="H119" s="9"/>
      <c r="I119" s="127"/>
      <c r="J119" s="9"/>
      <c r="K119" s="9"/>
      <c r="L119" s="127"/>
      <c r="M119" s="9"/>
      <c r="N119" s="9"/>
      <c r="O119" s="127"/>
      <c r="P119" s="127"/>
      <c r="Q119" s="9"/>
    </row>
    <row r="120" spans="1:17">
      <c r="A120" s="99"/>
      <c r="B120" s="201"/>
      <c r="C120" s="308"/>
      <c r="D120" s="308"/>
      <c r="E120" s="308"/>
      <c r="F120" s="127"/>
      <c r="G120" s="161"/>
      <c r="H120" s="9"/>
      <c r="I120" s="127"/>
      <c r="J120" s="9"/>
      <c r="K120" s="9"/>
      <c r="L120" s="127"/>
      <c r="M120" s="9"/>
      <c r="N120" s="9"/>
      <c r="O120" s="127"/>
      <c r="P120" s="127"/>
      <c r="Q120" s="9"/>
    </row>
    <row r="121" spans="1:17">
      <c r="A121" s="99"/>
      <c r="B121" s="201"/>
      <c r="C121" s="308"/>
      <c r="D121" s="308"/>
      <c r="E121" s="308"/>
      <c r="F121" s="127"/>
      <c r="G121" s="161"/>
      <c r="H121" s="9"/>
      <c r="I121" s="127"/>
      <c r="J121" s="9"/>
      <c r="K121" s="9"/>
      <c r="L121" s="127"/>
      <c r="M121" s="9"/>
      <c r="N121" s="9"/>
      <c r="O121" s="127"/>
      <c r="P121" s="127"/>
      <c r="Q121" s="9"/>
    </row>
    <row r="122" spans="1:17">
      <c r="A122" s="9"/>
      <c r="B122" s="310"/>
      <c r="C122" s="308"/>
      <c r="D122" s="308"/>
      <c r="E122" s="308"/>
      <c r="F122" s="127"/>
      <c r="G122" s="118"/>
      <c r="H122" s="9"/>
      <c r="I122" s="127"/>
      <c r="J122" s="161"/>
      <c r="K122" s="9"/>
      <c r="L122" s="127"/>
      <c r="M122" s="9"/>
      <c r="N122" s="9"/>
      <c r="O122" s="127"/>
      <c r="P122" s="127"/>
      <c r="Q122" s="9"/>
    </row>
    <row r="123" spans="1:17">
      <c r="A123" s="99"/>
      <c r="B123" s="201"/>
      <c r="C123" s="308"/>
      <c r="D123" s="308"/>
      <c r="E123" s="308"/>
      <c r="F123" s="127"/>
      <c r="G123" s="161"/>
      <c r="H123" s="9"/>
      <c r="I123" s="127"/>
      <c r="J123" s="9"/>
      <c r="K123" s="9"/>
      <c r="L123" s="127"/>
      <c r="M123" s="9"/>
      <c r="N123" s="9"/>
      <c r="O123" s="127"/>
      <c r="P123" s="127"/>
      <c r="Q123" s="9"/>
    </row>
    <row r="124" spans="1:17">
      <c r="A124" s="99"/>
      <c r="B124" s="201"/>
      <c r="C124" s="308"/>
      <c r="D124" s="308"/>
      <c r="E124" s="308"/>
      <c r="F124" s="127"/>
      <c r="G124" s="161"/>
      <c r="H124" s="9"/>
      <c r="I124" s="127"/>
      <c r="J124" s="9"/>
      <c r="K124" s="9"/>
      <c r="L124" s="127"/>
      <c r="M124" s="9"/>
      <c r="N124" s="9"/>
      <c r="O124" s="127"/>
      <c r="P124" s="127"/>
      <c r="Q124" s="9"/>
    </row>
    <row r="125" spans="1:17">
      <c r="A125" s="99"/>
      <c r="B125" s="201"/>
      <c r="C125" s="308"/>
      <c r="D125" s="308"/>
      <c r="E125" s="308"/>
      <c r="F125" s="127"/>
      <c r="G125" s="161"/>
      <c r="H125" s="9"/>
      <c r="I125" s="127"/>
      <c r="J125" s="9"/>
      <c r="K125" s="9"/>
      <c r="L125" s="127"/>
      <c r="M125" s="9"/>
      <c r="N125" s="9"/>
      <c r="O125" s="127"/>
      <c r="P125" s="127"/>
      <c r="Q125" s="9"/>
    </row>
    <row r="126" spans="1:17">
      <c r="A126" s="99"/>
      <c r="B126" s="201"/>
      <c r="C126" s="308"/>
      <c r="D126" s="308"/>
      <c r="E126" s="308"/>
      <c r="F126" s="127"/>
      <c r="G126" s="161"/>
      <c r="H126" s="9"/>
      <c r="I126" s="127"/>
      <c r="J126" s="9"/>
      <c r="K126" s="9"/>
      <c r="L126" s="127"/>
      <c r="M126" s="9"/>
      <c r="N126" s="9"/>
      <c r="O126" s="127"/>
      <c r="P126" s="127"/>
      <c r="Q126" s="9"/>
    </row>
    <row r="127" spans="1:17">
      <c r="A127" s="99"/>
      <c r="B127" s="201"/>
      <c r="C127" s="308"/>
      <c r="D127" s="308"/>
      <c r="E127" s="308"/>
      <c r="F127" s="127"/>
      <c r="G127" s="161"/>
      <c r="H127" s="9"/>
      <c r="I127" s="127"/>
      <c r="J127" s="9"/>
      <c r="K127" s="9"/>
      <c r="L127" s="127"/>
      <c r="M127" s="9"/>
      <c r="N127" s="9"/>
      <c r="O127" s="127"/>
      <c r="P127" s="127"/>
      <c r="Q127" s="9"/>
    </row>
    <row r="128" spans="1:17">
      <c r="A128" s="99"/>
      <c r="B128" s="201"/>
      <c r="C128" s="308"/>
      <c r="D128" s="308"/>
      <c r="E128" s="308"/>
      <c r="F128" s="127"/>
      <c r="G128" s="161"/>
      <c r="H128" s="9"/>
      <c r="I128" s="127"/>
      <c r="J128" s="9"/>
      <c r="K128" s="9"/>
      <c r="L128" s="127"/>
      <c r="M128" s="9"/>
      <c r="N128" s="9"/>
      <c r="O128" s="127"/>
      <c r="P128" s="127"/>
      <c r="Q128" s="9"/>
    </row>
    <row r="129" spans="1:17">
      <c r="A129" s="2"/>
      <c r="B129" s="205"/>
      <c r="C129" s="308"/>
      <c r="D129" s="308"/>
      <c r="E129" s="308"/>
      <c r="F129" s="127"/>
      <c r="G129" s="118"/>
      <c r="H129" s="9"/>
      <c r="I129" s="127"/>
      <c r="J129" s="161"/>
      <c r="K129" s="9"/>
      <c r="L129" s="127"/>
      <c r="M129" s="9"/>
      <c r="N129" s="9"/>
      <c r="O129" s="127"/>
      <c r="P129" s="127"/>
      <c r="Q129" s="9"/>
    </row>
    <row r="130" spans="1:17">
      <c r="A130" s="99"/>
      <c r="B130" s="201"/>
      <c r="C130" s="308"/>
      <c r="D130" s="308"/>
      <c r="E130" s="308"/>
      <c r="F130" s="127"/>
      <c r="G130" s="161"/>
      <c r="H130" s="9"/>
      <c r="I130" s="127"/>
      <c r="J130" s="9"/>
      <c r="K130" s="9"/>
      <c r="L130" s="127"/>
      <c r="M130" s="9"/>
      <c r="N130" s="9"/>
      <c r="O130" s="127"/>
      <c r="P130" s="127"/>
      <c r="Q130" s="9"/>
    </row>
    <row r="131" spans="1:17">
      <c r="A131" s="99"/>
      <c r="B131" s="201"/>
      <c r="C131" s="308"/>
      <c r="D131" s="308"/>
      <c r="E131" s="308"/>
      <c r="F131" s="127"/>
      <c r="G131" s="161"/>
      <c r="H131" s="9"/>
      <c r="I131" s="127"/>
      <c r="J131" s="9"/>
      <c r="K131" s="9"/>
      <c r="L131" s="127"/>
      <c r="M131" s="9"/>
      <c r="N131" s="9"/>
      <c r="O131" s="127"/>
      <c r="P131" s="127"/>
      <c r="Q131" s="9"/>
    </row>
    <row r="132" spans="1:17">
      <c r="A132" s="99"/>
      <c r="B132" s="201"/>
      <c r="C132" s="308"/>
      <c r="D132" s="308"/>
      <c r="E132" s="308"/>
      <c r="F132" s="127"/>
      <c r="G132" s="161"/>
      <c r="H132" s="9"/>
      <c r="I132" s="127"/>
      <c r="J132" s="9"/>
      <c r="K132" s="9"/>
      <c r="L132" s="127"/>
      <c r="M132" s="9"/>
      <c r="N132" s="9"/>
      <c r="O132" s="127"/>
      <c r="P132" s="127"/>
      <c r="Q132" s="9"/>
    </row>
    <row r="133" spans="1:17">
      <c r="A133" s="99"/>
      <c r="B133" s="201"/>
      <c r="C133" s="308"/>
      <c r="D133" s="308"/>
      <c r="E133" s="308"/>
      <c r="F133" s="127"/>
      <c r="G133" s="161"/>
      <c r="H133" s="9"/>
      <c r="I133" s="127"/>
      <c r="J133" s="9"/>
      <c r="K133" s="9"/>
      <c r="L133" s="127"/>
      <c r="M133" s="9"/>
      <c r="N133" s="9"/>
      <c r="O133" s="127"/>
      <c r="P133" s="127"/>
      <c r="Q133" s="9"/>
    </row>
    <row r="134" spans="1:17">
      <c r="A134" s="99"/>
      <c r="B134" s="201"/>
      <c r="C134" s="308"/>
      <c r="D134" s="308"/>
      <c r="E134" s="308"/>
      <c r="F134" s="127"/>
      <c r="G134" s="161"/>
      <c r="H134" s="9"/>
      <c r="I134" s="127"/>
      <c r="J134" s="9"/>
      <c r="K134" s="9"/>
      <c r="L134" s="127"/>
      <c r="M134" s="9"/>
      <c r="N134" s="9"/>
      <c r="O134" s="127"/>
      <c r="P134" s="127"/>
      <c r="Q134" s="9"/>
    </row>
    <row r="135" spans="1:17">
      <c r="A135" s="99"/>
      <c r="B135" s="201"/>
      <c r="C135" s="308"/>
      <c r="D135" s="308"/>
      <c r="E135" s="308"/>
      <c r="F135" s="127"/>
      <c r="G135" s="161"/>
      <c r="H135" s="9"/>
      <c r="I135" s="127"/>
      <c r="J135" s="9"/>
      <c r="K135" s="9"/>
      <c r="L135" s="127"/>
      <c r="M135" s="9"/>
      <c r="N135" s="9"/>
      <c r="O135" s="127"/>
      <c r="P135" s="127"/>
      <c r="Q135" s="9"/>
    </row>
    <row r="136" spans="1:17">
      <c r="A136" s="9"/>
      <c r="B136" s="100"/>
      <c r="C136" s="308"/>
      <c r="D136" s="308"/>
      <c r="E136" s="41"/>
      <c r="F136" s="207"/>
      <c r="G136" s="9"/>
      <c r="H136" s="2"/>
      <c r="I136" s="127"/>
      <c r="J136" s="9"/>
      <c r="K136" s="9"/>
      <c r="L136" s="9"/>
      <c r="M136" s="308"/>
      <c r="N136" s="9"/>
      <c r="O136" s="127"/>
      <c r="P136" s="9"/>
      <c r="Q136" s="9"/>
    </row>
    <row r="137" spans="1:17">
      <c r="A137" s="9"/>
      <c r="B137" s="9"/>
      <c r="C137" s="23"/>
      <c r="D137" s="23"/>
      <c r="E137" s="23"/>
      <c r="F137" s="308"/>
      <c r="G137" s="9"/>
      <c r="H137" s="9"/>
      <c r="I137" s="9"/>
      <c r="J137" s="9"/>
      <c r="K137" s="9"/>
      <c r="L137" s="330"/>
      <c r="M137" s="330"/>
      <c r="N137" s="23"/>
      <c r="O137" s="23"/>
      <c r="P137" s="23"/>
      <c r="Q137" s="9"/>
    </row>
    <row r="138" spans="1:17">
      <c r="A138" s="2"/>
      <c r="B138" s="9"/>
      <c r="C138" s="308"/>
      <c r="D138" s="308"/>
      <c r="E138" s="308"/>
      <c r="F138" s="31"/>
      <c r="G138" s="121"/>
      <c r="H138" s="2"/>
      <c r="I138" s="121"/>
      <c r="J138" s="9"/>
      <c r="K138" s="121"/>
      <c r="L138" s="322"/>
      <c r="M138" s="322"/>
      <c r="N138" s="95"/>
      <c r="O138" s="95"/>
      <c r="P138" s="95"/>
      <c r="Q138" s="9"/>
    </row>
    <row r="139" spans="1:17">
      <c r="A139" s="9"/>
      <c r="B139" s="2"/>
      <c r="C139" s="308"/>
      <c r="D139" s="308"/>
      <c r="E139" s="308"/>
      <c r="F139" s="31"/>
      <c r="G139" s="121"/>
      <c r="H139" s="2"/>
      <c r="I139" s="121"/>
      <c r="J139" s="9"/>
      <c r="K139" s="121"/>
      <c r="L139" s="322"/>
      <c r="M139" s="322"/>
      <c r="N139" s="95"/>
      <c r="O139" s="95"/>
      <c r="P139" s="95"/>
      <c r="Q139" s="9"/>
    </row>
    <row r="140" spans="1:17">
      <c r="A140" s="77"/>
      <c r="B140" s="9"/>
      <c r="C140" s="308"/>
      <c r="D140" s="308"/>
      <c r="E140" s="308"/>
      <c r="F140" s="31"/>
      <c r="G140" s="121"/>
      <c r="H140" s="9"/>
      <c r="I140" s="121"/>
      <c r="J140" s="9"/>
      <c r="K140" s="121"/>
      <c r="L140" s="322"/>
      <c r="M140" s="322"/>
      <c r="N140" s="95"/>
      <c r="O140" s="95"/>
      <c r="P140" s="95"/>
      <c r="Q140" s="9"/>
    </row>
  </sheetData>
  <sheetProtection formatCells="0" formatColumns="0" formatRows="0" insertColumns="0" insertRows="0" insertHyperlinks="0" deleteColumns="0" deleteRows="0" sort="0" autoFilter="0" pivotTables="0"/>
  <mergeCells count="16">
    <mergeCell ref="L137:M137"/>
    <mergeCell ref="L138:M138"/>
    <mergeCell ref="L139:M139"/>
    <mergeCell ref="L140:M140"/>
    <mergeCell ref="L35:M35"/>
    <mergeCell ref="L103:M103"/>
    <mergeCell ref="L104:M104"/>
    <mergeCell ref="L105:M105"/>
    <mergeCell ref="L32:M32"/>
    <mergeCell ref="L33:M33"/>
    <mergeCell ref="L34:M34"/>
    <mergeCell ref="L67:M67"/>
    <mergeCell ref="L102:M102"/>
    <mergeCell ref="L68:M68"/>
    <mergeCell ref="L69:M69"/>
    <mergeCell ref="L70:M70"/>
  </mergeCells>
  <conditionalFormatting sqref="P9:P23 N9">
    <cfRule type="colorScale" priority="820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32:N34">
    <cfRule type="colorScale" priority="582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O25:P30">
    <cfRule type="colorScale" priority="285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60:N70 N33:N44 P33:P70 O33:O36 O67:O70 N68:P70">
    <cfRule type="colorScale" priority="833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P44:P58 N44">
    <cfRule type="colorScale" priority="283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67:N69">
    <cfRule type="colorScale" priority="282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P44:P58">
    <cfRule type="colorScale" priority="281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P60:P65">
    <cfRule type="colorScale" priority="280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P24">
    <cfRule type="colorScale" priority="279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P45:P58">
    <cfRule type="colorScale" priority="277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P59">
    <cfRule type="colorScale" priority="275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P79:P93 N79">
    <cfRule type="colorScale" priority="272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102:N104">
    <cfRule type="colorScale" priority="271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P79:P93">
    <cfRule type="colorScale" priority="270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P95:P100">
    <cfRule type="colorScale" priority="269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P80:P93">
    <cfRule type="colorScale" priority="268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P94">
    <cfRule type="colorScale" priority="266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P80">
    <cfRule type="colorScale" priority="264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P87">
    <cfRule type="colorScale" priority="260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95:N100 N73:N79 P73:P100">
    <cfRule type="colorScale" priority="254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P9:P23">
    <cfRule type="colorScale" priority="837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68:N69">
    <cfRule type="colorScale" priority="200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103:N104">
    <cfRule type="colorScale" priority="199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103:P105">
    <cfRule type="colorScale" priority="198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72:N79 O102:O106 P72:P106 N95:N106">
    <cfRule type="colorScale" priority="896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137">
    <cfRule type="colorScale" priority="16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138:P140">
    <cfRule type="colorScale" priority="15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107:P140">
    <cfRule type="colorScale" priority="14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138:N139">
    <cfRule type="colorScale" priority="13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138:P140">
    <cfRule type="colorScale" priority="12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68:N69">
    <cfRule type="colorScale" priority="11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103:N104">
    <cfRule type="colorScale" priority="10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103:P105">
    <cfRule type="colorScale" priority="9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137">
    <cfRule type="colorScale" priority="8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138:P140">
    <cfRule type="colorScale" priority="7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107:P140">
    <cfRule type="colorScale" priority="6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138:N139">
    <cfRule type="colorScale" priority="5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137">
    <cfRule type="colorScale" priority="4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138:P140">
    <cfRule type="colorScale" priority="3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107:P140">
    <cfRule type="colorScale" priority="2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138:N139">
    <cfRule type="colorScale" priority="1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ignoredErrors>
    <ignoredError sqref="F18:H23 F17:K17 F24:K24 I18:K23 F52:K59 F10:K10 C18:E24 C52:E66 C69:E69 C71:E71 C17:E17 D67:E67" formula="1"/>
  </ignoredErrors>
  <legacyDrawing r:id="rId2"/>
  <controls>
    <control shapeId="7170" r:id="rId3" name="cmdHide"/>
    <control shapeId="7171" r:id="rId4" name="cmdHide2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5"/>
  <dimension ref="A1:R176"/>
  <sheetViews>
    <sheetView zoomScale="116" zoomScaleNormal="116" workbookViewId="0">
      <pane ySplit="1" topLeftCell="A2" activePane="bottomLeft" state="frozen"/>
      <selection pane="bottomLeft" activeCell="C74" sqref="C74"/>
    </sheetView>
  </sheetViews>
  <sheetFormatPr defaultColWidth="9.140625" defaultRowHeight="15"/>
  <cols>
    <col min="1" max="1" width="19.42578125" style="46" customWidth="1"/>
    <col min="2" max="2" width="35.28515625" customWidth="1"/>
    <col min="3" max="5" width="9.140625" customWidth="1"/>
    <col min="6" max="6" width="9.5703125" customWidth="1"/>
    <col min="7" max="8" width="11.140625" customWidth="1"/>
    <col min="9" max="9" width="9.140625" customWidth="1"/>
    <col min="10" max="10" width="12.28515625" customWidth="1"/>
    <col min="11" max="11" width="9.140625" customWidth="1"/>
    <col min="12" max="12" width="8.28515625" customWidth="1"/>
    <col min="13" max="13" width="17.140625" customWidth="1"/>
    <col min="14" max="14" width="12.42578125" customWidth="1"/>
    <col min="15" max="15" width="12.140625" customWidth="1"/>
    <col min="16" max="16" width="11.85546875" customWidth="1"/>
    <col min="17" max="18" width="9.140625" customWidth="1"/>
    <col min="19" max="19" width="11.140625" customWidth="1"/>
    <col min="20" max="20" width="9.140625" customWidth="1"/>
    <col min="21" max="21" width="12.28515625" customWidth="1"/>
  </cols>
  <sheetData>
    <row r="1" spans="1:18">
      <c r="B1" s="9" t="s">
        <v>1</v>
      </c>
      <c r="C1" s="232" t="s">
        <v>561</v>
      </c>
      <c r="D1" s="232" t="s">
        <v>562</v>
      </c>
      <c r="E1" s="232" t="s">
        <v>563</v>
      </c>
      <c r="F1" s="232" t="s">
        <v>822</v>
      </c>
      <c r="G1" s="42" t="s">
        <v>823</v>
      </c>
      <c r="H1" s="42" t="s">
        <v>564</v>
      </c>
      <c r="I1" s="232" t="s">
        <v>822</v>
      </c>
      <c r="J1" s="42" t="s">
        <v>823</v>
      </c>
      <c r="K1" s="81" t="s">
        <v>564</v>
      </c>
      <c r="L1" s="232" t="s">
        <v>822</v>
      </c>
      <c r="M1" s="42" t="s">
        <v>823</v>
      </c>
      <c r="N1" s="42" t="s">
        <v>564</v>
      </c>
      <c r="O1" s="232" t="s">
        <v>822</v>
      </c>
      <c r="P1" s="42" t="s">
        <v>823</v>
      </c>
      <c r="Q1" s="42" t="s">
        <v>564</v>
      </c>
      <c r="R1" s="42"/>
    </row>
    <row r="2" spans="1:18" ht="23.25" customHeight="1">
      <c r="A2" s="171" t="s">
        <v>1215</v>
      </c>
      <c r="B2" s="113" t="s">
        <v>1022</v>
      </c>
      <c r="C2" s="43"/>
      <c r="D2" s="43"/>
      <c r="E2" s="43"/>
      <c r="F2" s="85"/>
      <c r="G2" s="44"/>
      <c r="H2" s="44"/>
      <c r="I2" s="87"/>
      <c r="J2" s="44"/>
      <c r="K2" s="45"/>
      <c r="L2" s="87"/>
      <c r="M2" s="44"/>
      <c r="N2" s="44"/>
      <c r="O2" s="87"/>
      <c r="P2" s="44"/>
      <c r="Q2" s="45"/>
    </row>
    <row r="3" spans="1:18" hidden="1">
      <c r="A3" s="172" t="s">
        <v>1146</v>
      </c>
      <c r="B3" s="52"/>
      <c r="C3" s="232" t="str">
        <f>IF(B3&lt;&gt;"",VLOOKUP(B3,Items!$A$616:$X$640,15,FALSE),"")</f>
        <v/>
      </c>
      <c r="D3" s="232" t="str">
        <f>IF(B3&lt;&gt;"",VLOOKUP(B3,Items!$A$616:$X$640,16,FALSE),"")</f>
        <v/>
      </c>
      <c r="E3" s="13" t="str">
        <f>IF(B3&lt;&gt;"",VLOOKUP(B3,Items!$A$616:$X$640,17,FALSE),"")</f>
        <v/>
      </c>
      <c r="F3" s="127" t="str">
        <f>IF(B3&lt;&gt;"",IF(VLOOKUP(B3,Items!$A$616:$X$640,19,FALSE)&lt;&gt;0,VLOOKUP(B3,Items!$A$616:$X$640,19,FALSE),""),"")</f>
        <v/>
      </c>
      <c r="G3" s="161" t="str">
        <f>IF(B3&lt;&gt;"",IF(VLOOKUP(B3,Items!$A$616:$X$640,20,FALSE)&lt;&gt;0,VLOOKUP(B3,Items!$A$616:$X$640,20,FALSE),""),"")</f>
        <v/>
      </c>
      <c r="H3" s="9" t="str">
        <f>IF(B3&lt;&gt;"",IF(VLOOKUP(B3,Items!$A$616:$X$640,21,FALSE)&lt;&gt;0,VLOOKUP(B3,Items!$A$616:$X$640,21,FALSE),""),"")</f>
        <v/>
      </c>
      <c r="I3" s="88" t="str">
        <f>IF(B3&lt;&gt;"",IF(VLOOKUP(B3,Items!$A$616:$X$640,22,FALSE)&lt;&gt;0,VLOOKUP(B3,Items!$A$616:$X$640,22,FALSE),""),"")</f>
        <v/>
      </c>
      <c r="J3" s="9" t="str">
        <f>IF(B3&lt;&gt;"",IF(VLOOKUP(B3,Items!$A$616:$X$640,23,FALSE)&lt;&gt;0,VLOOKUP(B3,Items!$A$616:$X$640,23,FALSE),""),"")</f>
        <v/>
      </c>
      <c r="K3" s="1" t="str">
        <f>IF(B3&lt;&gt;"",IF(VLOOKUP(B3,Items!$A$616:$X$640,24,FALSE)&lt;&gt;0,VLOOKUP(B3,Items!$A$616:$X$640,24,FALSE),""),"")</f>
        <v/>
      </c>
      <c r="L3" s="46"/>
      <c r="M3" s="9"/>
      <c r="N3" s="9"/>
      <c r="O3" s="46"/>
      <c r="P3" s="9"/>
      <c r="Q3" s="1"/>
    </row>
    <row r="4" spans="1:18" hidden="1">
      <c r="A4" s="172" t="s">
        <v>1147</v>
      </c>
      <c r="B4" s="52"/>
      <c r="C4" s="232" t="str">
        <f>IF(B4&lt;&gt;"",VLOOKUP(B4,Items!$A$616:$X$640,15,FALSE),"")</f>
        <v/>
      </c>
      <c r="D4" s="232" t="str">
        <f>IF(B4&lt;&gt;"",VLOOKUP(B4,Items!$A$616:$X$640,16,FALSE),"")</f>
        <v/>
      </c>
      <c r="E4" s="13" t="str">
        <f>IF(B4&lt;&gt;"",VLOOKUP(B4,Items!$A$616:$X$640,17,FALSE),"")</f>
        <v/>
      </c>
      <c r="F4" s="127" t="str">
        <f>IF(B4&lt;&gt;"",IF(VLOOKUP(B4,Items!$A$616:$X$640,19,FALSE)&lt;&gt;0,VLOOKUP(B4,Items!$A$616:$X$640,19,FALSE),""),"")</f>
        <v/>
      </c>
      <c r="G4" s="161" t="str">
        <f>IF(B4&lt;&gt;"",IF(VLOOKUP(B4,Items!$A$616:$X$640,20,FALSE)&lt;&gt;0,VLOOKUP(B4,Items!$A$616:$X$640,20,FALSE),""),"")</f>
        <v/>
      </c>
      <c r="H4" s="9" t="str">
        <f>IF(B4&lt;&gt;"",IF(VLOOKUP(B4,Items!$A$616:$X$640,21,FALSE)&lt;&gt;0,VLOOKUP(B4,Items!$A$616:$X$640,21,FALSE),""),"")</f>
        <v/>
      </c>
      <c r="I4" s="88" t="str">
        <f>IF(B4&lt;&gt;"",IF(VLOOKUP(B4,Items!$A$616:$X$640,22,FALSE)&lt;&gt;0,VLOOKUP(B4,Items!$A$616:$X$640,22,FALSE),""),"")</f>
        <v/>
      </c>
      <c r="J4" s="9" t="str">
        <f>IF(B4&lt;&gt;"",IF(VLOOKUP(B4,Items!$A$616:$X$640,23,FALSE)&lt;&gt;0,VLOOKUP(B4,Items!$A$616:$X$640,23,FALSE),""),"")</f>
        <v/>
      </c>
      <c r="K4" s="1" t="str">
        <f>IF(B4&lt;&gt;"",IF(VLOOKUP(B4,Items!$A$616:$X$640,24,FALSE)&lt;&gt;0,VLOOKUP(B4,Items!$A$616:$X$640,24,FALSE),""),"")</f>
        <v/>
      </c>
      <c r="L4" s="46"/>
      <c r="M4" s="9"/>
      <c r="N4" s="9"/>
      <c r="O4" s="46"/>
      <c r="P4" s="9"/>
      <c r="Q4" s="1"/>
    </row>
    <row r="5" spans="1:18" hidden="1">
      <c r="A5" s="172" t="s">
        <v>1148</v>
      </c>
      <c r="B5" s="52"/>
      <c r="C5" s="232" t="str">
        <f>IF(B5&lt;&gt;"",VLOOKUP(B5,Items!$A$616:$X$640,15,FALSE),"")</f>
        <v/>
      </c>
      <c r="D5" s="232" t="str">
        <f>IF(B5&lt;&gt;"",VLOOKUP(B5,Items!$A$616:$X$640,16,FALSE),"")</f>
        <v/>
      </c>
      <c r="E5" s="13" t="str">
        <f>IF(B5&lt;&gt;"",VLOOKUP(B5,Items!$A$616:$X$640,17,FALSE),"")</f>
        <v/>
      </c>
      <c r="F5" s="127" t="str">
        <f>IF(B5&lt;&gt;"",IF(VLOOKUP(B5,Items!$A$616:$X$640,19,FALSE)&lt;&gt;0,VLOOKUP(B5,Items!$A$616:$X$640,19,FALSE),""),"")</f>
        <v/>
      </c>
      <c r="G5" s="161" t="str">
        <f>IF(B5&lt;&gt;"",IF(VLOOKUP(B5,Items!$A$616:$X$640,20,FALSE)&lt;&gt;0,VLOOKUP(B5,Items!$A$616:$X$640,20,FALSE),""),"")</f>
        <v/>
      </c>
      <c r="H5" s="9" t="str">
        <f>IF(B5&lt;&gt;"",IF(VLOOKUP(B5,Items!$A$616:$X$640,21,FALSE)&lt;&gt;0,VLOOKUP(B5,Items!$A$616:$X$640,21,FALSE),""),"")</f>
        <v/>
      </c>
      <c r="I5" s="88" t="str">
        <f>IF(B5&lt;&gt;"",IF(VLOOKUP(B5,Items!$A$616:$X$640,22,FALSE)&lt;&gt;0,VLOOKUP(B5,Items!$A$616:$X$640,22,FALSE),""),"")</f>
        <v/>
      </c>
      <c r="J5" s="9" t="str">
        <f>IF(B5&lt;&gt;"",IF(VLOOKUP(B5,Items!$A$616:$X$640,23,FALSE)&lt;&gt;0,VLOOKUP(B5,Items!$A$616:$X$640,23,FALSE),""),"")</f>
        <v/>
      </c>
      <c r="K5" s="1" t="str">
        <f>IF(B5&lt;&gt;"",IF(VLOOKUP(B5,Items!$A$616:$X$640,24,FALSE)&lt;&gt;0,VLOOKUP(B5,Items!$A$616:$X$640,24,FALSE),""),"")</f>
        <v/>
      </c>
      <c r="L5" s="46"/>
      <c r="M5" s="9"/>
      <c r="N5" s="9"/>
      <c r="O5" s="46"/>
      <c r="P5" s="9"/>
      <c r="Q5" s="1"/>
    </row>
    <row r="6" spans="1:18" hidden="1">
      <c r="A6" s="172" t="s">
        <v>1149</v>
      </c>
      <c r="B6" s="52"/>
      <c r="C6" s="232" t="str">
        <f>IF(B6&lt;&gt;"",VLOOKUP(B6,Items!$A$616:$X$640,15,FALSE),"")</f>
        <v/>
      </c>
      <c r="D6" s="232" t="str">
        <f>IF(B6&lt;&gt;"",VLOOKUP(B6,Items!$A$616:$X$640,16,FALSE),"")</f>
        <v/>
      </c>
      <c r="E6" s="13" t="str">
        <f>IF(B6&lt;&gt;"",VLOOKUP(B6,Items!$A$616:$X$640,17,FALSE),"")</f>
        <v/>
      </c>
      <c r="F6" s="127" t="str">
        <f>IF(B6&lt;&gt;"",IF(VLOOKUP(B6,Items!$A$616:$X$640,19,FALSE)&lt;&gt;0,VLOOKUP(B6,Items!$A$616:$X$640,19,FALSE),""),"")</f>
        <v/>
      </c>
      <c r="G6" s="161" t="str">
        <f>IF(B6&lt;&gt;"",IF(VLOOKUP(B6,Items!$A$616:$X$640,20,FALSE)&lt;&gt;0,VLOOKUP(B6,Items!$A$616:$X$640,20,FALSE),""),"")</f>
        <v/>
      </c>
      <c r="H6" s="9" t="str">
        <f>IF(B6&lt;&gt;"",IF(VLOOKUP(B6,Items!$A$616:$X$640,21,FALSE)&lt;&gt;0,VLOOKUP(B6,Items!$A$616:$X$640,21,FALSE),""),"")</f>
        <v/>
      </c>
      <c r="I6" s="88" t="str">
        <f>IF(B6&lt;&gt;"",IF(VLOOKUP(B6,Items!$A$616:$X$640,22,FALSE)&lt;&gt;0,VLOOKUP(B6,Items!$A$616:$X$640,22,FALSE),""),"")</f>
        <v/>
      </c>
      <c r="J6" s="9" t="str">
        <f>IF(B6&lt;&gt;"",IF(VLOOKUP(B6,Items!$A$616:$X$640,23,FALSE)&lt;&gt;0,VLOOKUP(B6,Items!$A$616:$X$640,23,FALSE),""),"")</f>
        <v/>
      </c>
      <c r="K6" s="1" t="str">
        <f>IF(B6&lt;&gt;"",IF(VLOOKUP(B6,Items!$A$616:$X$640,24,FALSE)&lt;&gt;0,VLOOKUP(B6,Items!$A$616:$X$640,24,FALSE),""),"")</f>
        <v/>
      </c>
      <c r="L6" s="46"/>
      <c r="M6" s="9"/>
      <c r="N6" s="9"/>
      <c r="O6" s="46"/>
      <c r="P6" s="9"/>
      <c r="Q6" s="1"/>
    </row>
    <row r="7" spans="1:18" hidden="1">
      <c r="A7" s="172" t="s">
        <v>1150</v>
      </c>
      <c r="B7" s="52"/>
      <c r="C7" s="232" t="str">
        <f>IF(B7&lt;&gt;"",VLOOKUP(B7,Items!$A$616:$X$640,15,FALSE),"")</f>
        <v/>
      </c>
      <c r="D7" s="232" t="str">
        <f>IF(B7&lt;&gt;"",VLOOKUP(B7,Items!$A$616:$X$640,16,FALSE),"")</f>
        <v/>
      </c>
      <c r="E7" s="13" t="str">
        <f>IF(B7&lt;&gt;"",VLOOKUP(B7,Items!$A$616:$X$640,17,FALSE),"")</f>
        <v/>
      </c>
      <c r="F7" s="127" t="str">
        <f>IF(B7&lt;&gt;"",IF(VLOOKUP(B7,Items!$A$616:$X$640,19,FALSE)&lt;&gt;0,VLOOKUP(B7,Items!$A$616:$X$640,19,FALSE),""),"")</f>
        <v/>
      </c>
      <c r="G7" s="161" t="str">
        <f>IF(B7&lt;&gt;"",IF(VLOOKUP(B7,Items!$A$616:$X$640,20,FALSE)&lt;&gt;0,VLOOKUP(B7,Items!$A$616:$X$640,20,FALSE),""),"")</f>
        <v/>
      </c>
      <c r="H7" s="9" t="str">
        <f>IF(B7&lt;&gt;"",IF(VLOOKUP(B7,Items!$A$616:$X$640,21,FALSE)&lt;&gt;0,VLOOKUP(B7,Items!$A$616:$X$640,21,FALSE),""),"")</f>
        <v/>
      </c>
      <c r="I7" s="88" t="str">
        <f>IF(B7&lt;&gt;"",IF(VLOOKUP(B7,Items!$A$616:$X$640,22,FALSE)&lt;&gt;0,VLOOKUP(B7,Items!$A$616:$X$640,22,FALSE),""),"")</f>
        <v/>
      </c>
      <c r="J7" s="9" t="str">
        <f>IF(B7&lt;&gt;"",IF(VLOOKUP(B7,Items!$A$616:$X$640,23,FALSE)&lt;&gt;0,VLOOKUP(B7,Items!$A$616:$X$640,23,FALSE),""),"")</f>
        <v/>
      </c>
      <c r="K7" s="1" t="str">
        <f>IF(B7&lt;&gt;"",IF(VLOOKUP(B7,Items!$A$616:$X$640,24,FALSE)&lt;&gt;0,VLOOKUP(B7,Items!$A$616:$X$640,24,FALSE),""),"")</f>
        <v/>
      </c>
      <c r="L7" s="46"/>
      <c r="M7" s="9"/>
      <c r="N7" s="9"/>
      <c r="O7" s="46"/>
      <c r="P7" s="9"/>
      <c r="Q7" s="1"/>
    </row>
    <row r="8" spans="1:18" hidden="1">
      <c r="A8" s="172" t="s">
        <v>1151</v>
      </c>
      <c r="B8" s="52"/>
      <c r="C8" s="232" t="str">
        <f>IF(B8&lt;&gt;"",VLOOKUP(B8,Items!$A$616:$X$640,15,FALSE),"")</f>
        <v/>
      </c>
      <c r="D8" s="232" t="str">
        <f>IF(B8&lt;&gt;"",VLOOKUP(B8,Items!$A$616:$X$640,16,FALSE),"")</f>
        <v/>
      </c>
      <c r="E8" s="13" t="str">
        <f>IF(B8&lt;&gt;"",VLOOKUP(B8,Items!$A$616:$X$640,17,FALSE),"")</f>
        <v/>
      </c>
      <c r="F8" s="127" t="str">
        <f>IF(B8&lt;&gt;"",IF(VLOOKUP(B8,Items!$A$616:$X$640,19,FALSE)&lt;&gt;0,VLOOKUP(B8,Items!$A$616:$X$640,19,FALSE),""),"")</f>
        <v/>
      </c>
      <c r="G8" s="161" t="str">
        <f>IF(B8&lt;&gt;"",IF(VLOOKUP(B8,Items!$A$616:$X$640,20,FALSE)&lt;&gt;0,VLOOKUP(B8,Items!$A$616:$X$640,20,FALSE),""),"")</f>
        <v/>
      </c>
      <c r="H8" s="9" t="str">
        <f>IF(B8&lt;&gt;"",IF(VLOOKUP(B8,Items!$A$616:$X$640,21,FALSE)&lt;&gt;0,VLOOKUP(B8,Items!$A$616:$X$640,21,FALSE),""),"")</f>
        <v/>
      </c>
      <c r="I8" s="88" t="str">
        <f>IF(B8&lt;&gt;"",IF(VLOOKUP(B8,Items!$A$616:$X$640,22,FALSE)&lt;&gt;0,VLOOKUP(B8,Items!$A$616:$X$640,22,FALSE),""),"")</f>
        <v/>
      </c>
      <c r="J8" s="9" t="str">
        <f>IF(B8&lt;&gt;"",IF(VLOOKUP(B8,Items!$A$616:$X$640,23,FALSE)&lt;&gt;0,VLOOKUP(B8,Items!$A$616:$X$640,23,FALSE),""),"")</f>
        <v/>
      </c>
      <c r="K8" s="1" t="str">
        <f>IF(B8&lt;&gt;"",IF(VLOOKUP(B8,Items!$A$616:$X$640,24,FALSE)&lt;&gt;0,VLOOKUP(B8,Items!$A$616:$X$640,24,FALSE),""),"")</f>
        <v/>
      </c>
      <c r="L8" s="46"/>
      <c r="M8" s="9"/>
      <c r="N8" s="9"/>
      <c r="O8" s="46"/>
      <c r="P8" s="9"/>
      <c r="Q8" s="1"/>
    </row>
    <row r="9" spans="1:18">
      <c r="A9" s="46" t="s">
        <v>631</v>
      </c>
      <c r="B9" s="52"/>
      <c r="C9" s="232">
        <v>0</v>
      </c>
      <c r="D9" s="232">
        <v>1</v>
      </c>
      <c r="E9" s="232">
        <v>0</v>
      </c>
      <c r="F9" s="88"/>
      <c r="G9" s="9"/>
      <c r="H9" s="9"/>
      <c r="I9" s="46"/>
      <c r="J9" s="9"/>
      <c r="K9" s="1"/>
      <c r="L9" s="46"/>
      <c r="M9" s="232"/>
      <c r="N9" s="9"/>
      <c r="O9" s="88"/>
      <c r="P9" s="232"/>
      <c r="Q9" s="1"/>
    </row>
    <row r="10" spans="1:18">
      <c r="A10" s="46" t="s">
        <v>565</v>
      </c>
      <c r="B10" s="52" t="s">
        <v>85</v>
      </c>
      <c r="C10" s="232">
        <f>IF(convertString(B10, "prefix")&lt;&gt;"",VLOOKUP(convertString(B10, "prefix"),Items!$A$544:$Z$612,15,FALSE),0) + IF(convertString(B10, "item")&lt;&gt;"",VLOOKUP(convertString(B10, "item"),Items!$A$14:$X$432,15,FALSE),0) + IF(convertString(B10, "suffix")&lt;&gt;"",VLOOKUP(convertString(B10, "suffix"),Items!$A$544:$Z$612,15,FALSE),0) + SUM(C11:C16)</f>
        <v>0</v>
      </c>
      <c r="D10" s="232">
        <f>IF(convertString(B10, "prefix")&lt;&gt;"",VLOOKUP(convertString(B10, "prefix"),Items!$A$544:$Z$612,16,FALSE),0) + IF(convertString(B10, "item")&lt;&gt;"",VLOOKUP(convertString(B10, "item"),Items!$A$14:$X$432,16,FALSE),0) + IF(convertString(B10, "suffix")&lt;&gt;"",VLOOKUP(convertString(B10, "suffix"),Items!$A$544:$Z$612,16,FALSE),0)+SUM(D11:D16)</f>
        <v>3</v>
      </c>
      <c r="E10" s="232">
        <f>IF(convertString(B10, "prefix")&lt;&gt;"",VLOOKUP(convertString(B10, "prefix"),Items!$A$544:$Z$612,17,FALSE),0) + IF(convertString(B10, "item")&lt;&gt;"",VLOOKUP(convertString(B10, "item"),Items!$A$14:$X$432,17,FALSE),0) + IF(convertString(B10, "suffix")&lt;&gt;"",VLOOKUP(convertString(B10, "suffix"),Items!$A$544:$Z$612,17,FALSE),0)+SUM(E11:E16)</f>
        <v>0</v>
      </c>
      <c r="F10" s="88" t="str">
        <f>IF(VLOOKUP(convertString(B10, "item"),Items!$A$14:$X$432,19,FALSE)&lt;&gt;"",VLOOKUP(convertString(B10, "item"),Items!$A$14:$X$432,19,FALSE),"")</f>
        <v/>
      </c>
      <c r="G10" s="118" t="str">
        <f>IF(VLOOKUP(convertString(B10, "item"),Items!$A$14:$X$432,20,FALSE)&lt;&gt;0,VLOOKUP(convertString(B10, "item"),Items!$A$14:$X$432,20,FALSE),"")</f>
        <v/>
      </c>
      <c r="H10" s="9" t="str">
        <f>IF(VLOOKUP(convertString(B10, "item"),Items!$A$14:$X$432,21,FALSE)&lt;&gt;"",VLOOKUP(convertString(B10, "item"),Items!$A$14:$X$432,21,FALSE),"")</f>
        <v/>
      </c>
      <c r="I10" s="88" t="str">
        <f>IF(VLOOKUP(convertString(B10, "item"),Items!$A$14:$X$432,22,FALSE)&lt;&gt;"",VLOOKUP(convertString(B10, "item"),Items!$A$14:$X$432,22,FALSE),"")</f>
        <v/>
      </c>
      <c r="J10" s="161" t="str">
        <f>IF(VLOOKUP(convertString(B10, "item"),Items!$A$14:$X$432,23,FALSE)&lt;&gt;"",VLOOKUP(convertString(B10, "item"),Items!$A$14:$X$432,23,FALSE),"")</f>
        <v/>
      </c>
      <c r="K10" s="9" t="str">
        <f>IF(VLOOKUP(convertString(B10, "item"),Items!$A$14:$X$432,24,FALSE)&lt;&gt;"",VLOOKUP(convertString(B10, "item"),Items!$A$14:$X$432,24,FALSE),"")</f>
        <v/>
      </c>
      <c r="L10" s="88" t="str">
        <f>IF(IF(convertString(B10, "suffix")&lt;&gt;"",VLOOKUP(convertString(B10, "suffix"),Items!$A$544:$Z$612,19,FALSE),"")&lt;&gt;"",IF(convertString(B10, "suffix")&lt;&gt;"",VLOOKUP(convertString(B10, "suffix"),Items!$A$544:$Z$612,19,FALSE),""),"")</f>
        <v/>
      </c>
      <c r="M10" s="9" t="str">
        <f>IF(IF(convertString(B10, "suffix")&lt;&gt;"",VLOOKUP(convertString(B10, "suffix"),Items!$A$544:$Z$612,20,FALSE),"")&lt;&gt;"",IF(convertString(B10, "suffix")&lt;&gt;"",VLOOKUP(convertString(B10, "suffix"),Items!$A$544:$Z$612,20,FALSE),""),"")</f>
        <v/>
      </c>
      <c r="N10" s="9" t="str">
        <f>IF(IF(convertString(B10, "suffix")&lt;&gt;"",VLOOKUP(convertString(B10, "suffix"),Items!$A$544:$Z$612,21,FALSE),"")&lt;&gt;"",IF(convertString(B10, "suffix")&lt;&gt;"",VLOOKUP(convertString(B10, "suffix"),Items!$A$544:$Z$612,21,FALSE),""),"")</f>
        <v/>
      </c>
      <c r="O10" s="88" t="str">
        <f>IF(IF(convertString(B10, "prefix")&lt;&gt;"",VLOOKUP(convertString(B10, "prefix"),Items!$A$544:$Z$612,19,FALSE),"")&lt;&gt;"",IF(convertString(B10, "prefix")&lt;&gt;"",VLOOKUP(convertString(B10, "prefix"),Items!$A$544:$Z$612,19,FALSE),""),"")</f>
        <v/>
      </c>
      <c r="P10" s="127" t="str">
        <f>IF(IF(convertString(B10, "prefix")&lt;&gt;"",VLOOKUP(convertString(B10, "prefix"),Items!$A$544:$Z$612,20,FALSE),"")&lt;&gt;"",IF(convertString(B10, "prefix")&lt;&gt;"",VLOOKUP(convertString(B10, "prefix"),Items!$A$544:$Z$612,20,FALSE),""),"")</f>
        <v/>
      </c>
      <c r="Q10" s="1" t="str">
        <f>IF(IF(convertString(B10, "prefix")&lt;&gt;"",VLOOKUP(convertString(B10, "prefix"),Items!$A$544:$Z$612,21,FALSE),"")&lt;&gt;"",IF(convertString(B10, "prefix")&lt;&gt;"",VLOOKUP(convertString(B10, "prefix"),Items!$A$544:$Z$612,21,FALSE),""),"")</f>
        <v/>
      </c>
    </row>
    <row r="11" spans="1:18" hidden="1">
      <c r="A11" s="172" t="s">
        <v>1146</v>
      </c>
      <c r="B11" s="52"/>
      <c r="C11" s="232" t="str">
        <f>IF(B11&lt;&gt;"",VLOOKUP(B11,Items!$A$616:$X$640,15,FALSE),"")</f>
        <v/>
      </c>
      <c r="D11" s="232" t="str">
        <f>IF(B11&lt;&gt;"",VLOOKUP(B11,Items!$A$616:$X$640,16,FALSE),"")</f>
        <v/>
      </c>
      <c r="E11" s="13" t="str">
        <f>IF(B11&lt;&gt;"",VLOOKUP(B11,Items!$A$616:$X$640,17,FALSE),"")</f>
        <v/>
      </c>
      <c r="F11" s="127" t="str">
        <f>IF(B11&lt;&gt;"",IF(VLOOKUP(B11,Items!$A$616:$X$640,19,FALSE)&lt;&gt;0,VLOOKUP(B11,Items!$A$616:$X$640,19,FALSE),""),"")</f>
        <v/>
      </c>
      <c r="G11" s="161" t="str">
        <f>IF(B11&lt;&gt;"",IF(VLOOKUP(B11,Items!$A$616:$X$640,20,FALSE)&lt;&gt;0,VLOOKUP(B11,Items!$A$616:$X$640,20,FALSE),""),"")</f>
        <v/>
      </c>
      <c r="H11" s="9" t="str">
        <f>IF(B11&lt;&gt;"",IF(VLOOKUP(B11,Items!$A$616:$X$640,21,FALSE)&lt;&gt;0,VLOOKUP(B11,Items!$A$616:$X$640,21,FALSE),""),"")</f>
        <v/>
      </c>
      <c r="I11" s="88" t="str">
        <f>IF(B11&lt;&gt;"",IF(VLOOKUP(B11,Items!$A$616:$X$640,22,FALSE)&lt;&gt;0,VLOOKUP(B11,Items!$A$616:$X$640,22,FALSE),""),"")</f>
        <v/>
      </c>
      <c r="J11" s="9" t="str">
        <f>IF(B11&lt;&gt;"",IF(VLOOKUP(B11,Items!$A$616:$X$640,23,FALSE)&lt;&gt;0,VLOOKUP(B11,Items!$A$616:$X$640,23,FALSE),""),"")</f>
        <v/>
      </c>
      <c r="K11" s="1" t="str">
        <f>IF(B11&lt;&gt;"",IF(VLOOKUP(B11,Items!$A$616:$X$640,24,FALSE)&lt;&gt;0,VLOOKUP(B11,Items!$A$616:$X$640,24,FALSE),""),"")</f>
        <v/>
      </c>
      <c r="L11" s="88"/>
      <c r="M11" s="9"/>
      <c r="N11" s="9"/>
      <c r="O11" s="88"/>
      <c r="P11" s="127"/>
      <c r="Q11" s="1"/>
    </row>
    <row r="12" spans="1:18" hidden="1">
      <c r="A12" s="172" t="s">
        <v>1147</v>
      </c>
      <c r="B12" s="52"/>
      <c r="C12" s="232" t="str">
        <f>IF(B12&lt;&gt;"",VLOOKUP(B12,Items!$A$616:$X$640,15,FALSE),"")</f>
        <v/>
      </c>
      <c r="D12" s="232" t="str">
        <f>IF(B12&lt;&gt;"",VLOOKUP(B12,Items!$A$616:$X$640,16,FALSE),"")</f>
        <v/>
      </c>
      <c r="E12" s="13" t="str">
        <f>IF(B12&lt;&gt;"",VLOOKUP(B12,Items!$A$616:$X$640,17,FALSE),"")</f>
        <v/>
      </c>
      <c r="F12" s="127" t="str">
        <f>IF(B12&lt;&gt;"",IF(VLOOKUP(B12,Items!$A$616:$X$640,19,FALSE)&lt;&gt;0,VLOOKUP(B12,Items!$A$616:$X$640,19,FALSE),""),"")</f>
        <v/>
      </c>
      <c r="G12" s="161" t="str">
        <f>IF(B12&lt;&gt;"",IF(VLOOKUP(B12,Items!$A$616:$X$640,20,FALSE)&lt;&gt;0,VLOOKUP(B12,Items!$A$616:$X$640,20,FALSE),""),"")</f>
        <v/>
      </c>
      <c r="H12" s="9" t="str">
        <f>IF(B12&lt;&gt;"",IF(VLOOKUP(B12,Items!$A$616:$X$640,21,FALSE)&lt;&gt;0,VLOOKUP(B12,Items!$A$616:$X$640,21,FALSE),""),"")</f>
        <v/>
      </c>
      <c r="I12" s="88" t="str">
        <f>IF(B12&lt;&gt;"",IF(VLOOKUP(B12,Items!$A$616:$X$640,22,FALSE)&lt;&gt;0,VLOOKUP(B12,Items!$A$616:$X$640,22,FALSE),""),"")</f>
        <v/>
      </c>
      <c r="J12" s="9" t="str">
        <f>IF(B12&lt;&gt;"",IF(VLOOKUP(B12,Items!$A$616:$X$640,23,FALSE)&lt;&gt;0,VLOOKUP(B12,Items!$A$616:$X$640,23,FALSE),""),"")</f>
        <v/>
      </c>
      <c r="K12" s="1" t="str">
        <f>IF(B12&lt;&gt;"",IF(VLOOKUP(B12,Items!$A$616:$X$640,24,FALSE)&lt;&gt;0,VLOOKUP(B12,Items!$A$616:$X$640,24,FALSE),""),"")</f>
        <v/>
      </c>
      <c r="L12" s="88"/>
      <c r="M12" s="9"/>
      <c r="N12" s="9"/>
      <c r="O12" s="88"/>
      <c r="P12" s="127"/>
      <c r="Q12" s="1"/>
    </row>
    <row r="13" spans="1:18" hidden="1">
      <c r="A13" s="172" t="s">
        <v>1148</v>
      </c>
      <c r="B13" s="52"/>
      <c r="C13" s="232" t="str">
        <f>IF(B13&lt;&gt;"",VLOOKUP(B13,Items!$A$616:$X$640,15,FALSE),"")</f>
        <v/>
      </c>
      <c r="D13" s="232" t="str">
        <f>IF(B13&lt;&gt;"",VLOOKUP(B13,Items!$A$616:$X$640,16,FALSE),"")</f>
        <v/>
      </c>
      <c r="E13" s="13" t="str">
        <f>IF(B13&lt;&gt;"",VLOOKUP(B13,Items!$A$616:$X$640,17,FALSE),"")</f>
        <v/>
      </c>
      <c r="F13" s="127" t="str">
        <f>IF(B13&lt;&gt;"",IF(VLOOKUP(B13,Items!$A$616:$X$640,19,FALSE)&lt;&gt;0,VLOOKUP(B13,Items!$A$616:$X$640,19,FALSE),""),"")</f>
        <v/>
      </c>
      <c r="G13" s="161" t="str">
        <f>IF(B13&lt;&gt;"",IF(VLOOKUP(B13,Items!$A$616:$X$640,20,FALSE)&lt;&gt;0,VLOOKUP(B13,Items!$A$616:$X$640,20,FALSE),""),"")</f>
        <v/>
      </c>
      <c r="H13" s="9" t="str">
        <f>IF(B13&lt;&gt;"",IF(VLOOKUP(B13,Items!$A$616:$X$640,21,FALSE)&lt;&gt;0,VLOOKUP(B13,Items!$A$616:$X$640,21,FALSE),""),"")</f>
        <v/>
      </c>
      <c r="I13" s="88" t="str">
        <f>IF(B13&lt;&gt;"",IF(VLOOKUP(B13,Items!$A$616:$X$640,22,FALSE)&lt;&gt;0,VLOOKUP(B13,Items!$A$616:$X$640,22,FALSE),""),"")</f>
        <v/>
      </c>
      <c r="J13" s="9" t="str">
        <f>IF(B13&lt;&gt;"",IF(VLOOKUP(B13,Items!$A$616:$X$640,23,FALSE)&lt;&gt;0,VLOOKUP(B13,Items!$A$616:$X$640,23,FALSE),""),"")</f>
        <v/>
      </c>
      <c r="K13" s="1" t="str">
        <f>IF(B13&lt;&gt;"",IF(VLOOKUP(B13,Items!$A$616:$X$640,24,FALSE)&lt;&gt;0,VLOOKUP(B13,Items!$A$616:$X$640,24,FALSE),""),"")</f>
        <v/>
      </c>
      <c r="L13" s="88"/>
      <c r="M13" s="9"/>
      <c r="N13" s="9"/>
      <c r="O13" s="88"/>
      <c r="P13" s="127"/>
      <c r="Q13" s="1"/>
    </row>
    <row r="14" spans="1:18" hidden="1">
      <c r="A14" s="172" t="s">
        <v>1149</v>
      </c>
      <c r="B14" s="52"/>
      <c r="C14" s="232" t="str">
        <f>IF(B14&lt;&gt;"",VLOOKUP(B14,Items!$A$616:$X$640,15,FALSE),"")</f>
        <v/>
      </c>
      <c r="D14" s="232" t="str">
        <f>IF(B14&lt;&gt;"",VLOOKUP(B14,Items!$A$616:$X$640,16,FALSE),"")</f>
        <v/>
      </c>
      <c r="E14" s="13" t="str">
        <f>IF(B14&lt;&gt;"",VLOOKUP(B14,Items!$A$616:$X$640,17,FALSE),"")</f>
        <v/>
      </c>
      <c r="F14" s="127" t="str">
        <f>IF(B14&lt;&gt;"",IF(VLOOKUP(B14,Items!$A$616:$X$640,19,FALSE)&lt;&gt;0,VLOOKUP(B14,Items!$A$616:$X$640,19,FALSE),""),"")</f>
        <v/>
      </c>
      <c r="G14" s="161" t="str">
        <f>IF(B14&lt;&gt;"",IF(VLOOKUP(B14,Items!$A$616:$X$640,20,FALSE)&lt;&gt;0,VLOOKUP(B14,Items!$A$616:$X$640,20,FALSE),""),"")</f>
        <v/>
      </c>
      <c r="H14" s="9" t="str">
        <f>IF(B14&lt;&gt;"",IF(VLOOKUP(B14,Items!$A$616:$X$640,21,FALSE)&lt;&gt;0,VLOOKUP(B14,Items!$A$616:$X$640,21,FALSE),""),"")</f>
        <v/>
      </c>
      <c r="I14" s="88" t="str">
        <f>IF(B14&lt;&gt;"",IF(VLOOKUP(B14,Items!$A$616:$X$640,22,FALSE)&lt;&gt;0,VLOOKUP(B14,Items!$A$616:$X$640,22,FALSE),""),"")</f>
        <v/>
      </c>
      <c r="J14" s="9" t="str">
        <f>IF(B14&lt;&gt;"",IF(VLOOKUP(B14,Items!$A$616:$X$640,23,FALSE)&lt;&gt;0,VLOOKUP(B14,Items!$A$616:$X$640,23,FALSE),""),"")</f>
        <v/>
      </c>
      <c r="K14" s="1" t="str">
        <f>IF(B14&lt;&gt;"",IF(VLOOKUP(B14,Items!$A$616:$X$640,24,FALSE)&lt;&gt;0,VLOOKUP(B14,Items!$A$616:$X$640,24,FALSE),""),"")</f>
        <v/>
      </c>
      <c r="L14" s="88"/>
      <c r="M14" s="9"/>
      <c r="N14" s="9"/>
      <c r="O14" s="88"/>
      <c r="P14" s="127"/>
      <c r="Q14" s="1"/>
    </row>
    <row r="15" spans="1:18" hidden="1">
      <c r="A15" s="172" t="s">
        <v>1150</v>
      </c>
      <c r="B15" s="52"/>
      <c r="C15" s="232" t="str">
        <f>IF(B15&lt;&gt;"",VLOOKUP(B15,Items!$A$616:$X$640,15,FALSE),"")</f>
        <v/>
      </c>
      <c r="D15" s="232" t="str">
        <f>IF(B15&lt;&gt;"",VLOOKUP(B15,Items!$A$616:$X$640,16,FALSE),"")</f>
        <v/>
      </c>
      <c r="E15" s="13" t="str">
        <f>IF(B15&lt;&gt;"",VLOOKUP(B15,Items!$A$616:$X$640,17,FALSE),"")</f>
        <v/>
      </c>
      <c r="F15" s="127" t="str">
        <f>IF(B15&lt;&gt;"",IF(VLOOKUP(B15,Items!$A$616:$X$640,19,FALSE)&lt;&gt;0,VLOOKUP(B15,Items!$A$616:$X$640,19,FALSE),""),"")</f>
        <v/>
      </c>
      <c r="G15" s="161" t="str">
        <f>IF(B15&lt;&gt;"",IF(VLOOKUP(B15,Items!$A$616:$X$640,20,FALSE)&lt;&gt;0,VLOOKUP(B15,Items!$A$616:$X$640,20,FALSE),""),"")</f>
        <v/>
      </c>
      <c r="H15" s="9" t="str">
        <f>IF(B15&lt;&gt;"",IF(VLOOKUP(B15,Items!$A$616:$X$640,21,FALSE)&lt;&gt;0,VLOOKUP(B15,Items!$A$616:$X$640,21,FALSE),""),"")</f>
        <v/>
      </c>
      <c r="I15" s="88" t="str">
        <f>IF(B15&lt;&gt;"",IF(VLOOKUP(B15,Items!$A$616:$X$640,22,FALSE)&lt;&gt;0,VLOOKUP(B15,Items!$A$616:$X$640,22,FALSE),""),"")</f>
        <v/>
      </c>
      <c r="J15" s="9" t="str">
        <f>IF(B15&lt;&gt;"",IF(VLOOKUP(B15,Items!$A$616:$X$640,23,FALSE)&lt;&gt;0,VLOOKUP(B15,Items!$A$616:$X$640,23,FALSE),""),"")</f>
        <v/>
      </c>
      <c r="K15" s="1" t="str">
        <f>IF(B15&lt;&gt;"",IF(VLOOKUP(B15,Items!$A$616:$X$640,24,FALSE)&lt;&gt;0,VLOOKUP(B15,Items!$A$616:$X$640,24,FALSE),""),"")</f>
        <v/>
      </c>
      <c r="L15" s="88"/>
      <c r="M15" s="9"/>
      <c r="N15" s="9"/>
      <c r="O15" s="88"/>
      <c r="P15" s="127"/>
      <c r="Q15" s="1"/>
    </row>
    <row r="16" spans="1:18" hidden="1">
      <c r="A16" s="172" t="s">
        <v>1151</v>
      </c>
      <c r="B16" s="52"/>
      <c r="C16" s="232" t="str">
        <f>IF(B16&lt;&gt;"",VLOOKUP(B16,Items!$A$616:$X$640,15,FALSE),"")</f>
        <v/>
      </c>
      <c r="D16" s="232" t="str">
        <f>IF(B16&lt;&gt;"",VLOOKUP(B16,Items!$A$616:$X$640,16,FALSE),"")</f>
        <v/>
      </c>
      <c r="E16" s="13" t="str">
        <f>IF(B16&lt;&gt;"",VLOOKUP(B16,Items!$A$616:$X$640,17,FALSE),"")</f>
        <v/>
      </c>
      <c r="F16" s="127" t="str">
        <f>IF(B16&lt;&gt;"",IF(VLOOKUP(B16,Items!$A$616:$X$640,19,FALSE)&lt;&gt;0,VLOOKUP(B16,Items!$A$616:$X$640,19,FALSE),""),"")</f>
        <v/>
      </c>
      <c r="G16" s="161" t="str">
        <f>IF(B16&lt;&gt;"",IF(VLOOKUP(B16,Items!$A$616:$X$640,20,FALSE)&lt;&gt;0,VLOOKUP(B16,Items!$A$616:$X$640,20,FALSE),""),"")</f>
        <v/>
      </c>
      <c r="H16" s="9" t="str">
        <f>IF(B16&lt;&gt;"",IF(VLOOKUP(B16,Items!$A$616:$X$640,21,FALSE)&lt;&gt;0,VLOOKUP(B16,Items!$A$616:$X$640,21,FALSE),""),"")</f>
        <v/>
      </c>
      <c r="I16" s="88" t="str">
        <f>IF(B16&lt;&gt;"",IF(VLOOKUP(B16,Items!$A$616:$X$640,22,FALSE)&lt;&gt;0,VLOOKUP(B16,Items!$A$616:$X$640,22,FALSE),""),"")</f>
        <v/>
      </c>
      <c r="J16" s="9" t="str">
        <f>IF(B16&lt;&gt;"",IF(VLOOKUP(B16,Items!$A$616:$X$640,23,FALSE)&lt;&gt;0,VLOOKUP(B16,Items!$A$616:$X$640,23,FALSE),""),"")</f>
        <v/>
      </c>
      <c r="K16" s="1" t="str">
        <f>IF(B16&lt;&gt;"",IF(VLOOKUP(B16,Items!$A$616:$X$640,24,FALSE)&lt;&gt;0,VLOOKUP(B16,Items!$A$616:$X$640,24,FALSE),""),"")</f>
        <v/>
      </c>
      <c r="L16" s="88"/>
      <c r="M16" s="9"/>
      <c r="N16" s="9"/>
      <c r="O16" s="88"/>
      <c r="P16" s="127"/>
      <c r="Q16" s="1"/>
    </row>
    <row r="17" spans="1:17">
      <c r="A17" s="46" t="s">
        <v>570</v>
      </c>
      <c r="B17" s="52" t="s">
        <v>83</v>
      </c>
      <c r="C17" s="232">
        <f>IF(convertString(B17, "prefix")&lt;&gt;"",VLOOKUP(convertString(B17, "prefix"),Items!$A$544:$Z$612,15,FALSE),0) + IF(convertString(B17, "item")&lt;&gt;"",VLOOKUP(convertString(B17, "item"),Items!$A$14:$X$432,15,FALSE),0) + IF(convertString(B17, "suffix")&lt;&gt;"",VLOOKUP(convertString(B17, "suffix"),Items!$A$544:$Z$612,15,FALSE),0) + SUM(C18:C23)</f>
        <v>0</v>
      </c>
      <c r="D17" s="232">
        <f>IF(convertString(B17, "prefix")&lt;&gt;"",VLOOKUP(convertString(B17, "prefix"),Items!$A$544:$Z$612,16,FALSE),0) + IF(convertString(B17, "item")&lt;&gt;"",VLOOKUP(convertString(B17, "item"),Items!$A$14:$X$432,16,FALSE),0) + IF(convertString(B17, "suffix")&lt;&gt;"",VLOOKUP(convertString(B17, "suffix"),Items!$A$544:$Z$612,16,FALSE),0)+SUM(D18:D23)</f>
        <v>3</v>
      </c>
      <c r="E17" s="232">
        <f>IF(convertString(B17, "prefix")&lt;&gt;"",VLOOKUP(convertString(B17, "prefix"),Items!$A$544:$Z$612,17,FALSE),0) + IF(convertString(B17, "item")&lt;&gt;"",VLOOKUP(convertString(B17, "item"),Items!$A$14:$X$432,17,FALSE),0) + IF(convertString(B17, "suffix")&lt;&gt;"",VLOOKUP(convertString(B17, "suffix"),Items!$A$544:$Z$612,17,FALSE),0)+SUM(E18:E23)</f>
        <v>0</v>
      </c>
      <c r="F17" s="88" t="str">
        <f>IF(VLOOKUP(convertString(B17, "item"),Items!$A$14:$X$432,19,FALSE)&lt;&gt;"",VLOOKUP(convertString(B17, "item"),Items!$A$14:$X$432,19,FALSE),"")</f>
        <v/>
      </c>
      <c r="G17" s="118" t="str">
        <f>IF(VLOOKUP(convertString(B17, "item"),Items!$A$14:$X$432,20,FALSE)&lt;&gt;0,VLOOKUP(convertString(B17, "item"),Items!$A$14:$X$432,20,FALSE),"")</f>
        <v/>
      </c>
      <c r="H17" s="9" t="str">
        <f>IF(VLOOKUP(convertString(B17, "item"),Items!$A$14:$X$432,21,FALSE)&lt;&gt;"",VLOOKUP(convertString(B17, "item"),Items!$A$14:$X$432,21,FALSE),"")</f>
        <v/>
      </c>
      <c r="I17" s="88" t="str">
        <f>IF(VLOOKUP(convertString(B17, "item"),Items!$A$14:$X$432,22,FALSE)&lt;&gt;"",VLOOKUP(convertString(B17, "item"),Items!$A$14:$X$432,22,FALSE),"")</f>
        <v/>
      </c>
      <c r="J17" s="161" t="str">
        <f>IF(VLOOKUP(convertString(B17, "item"),Items!$A$14:$X$432,23,FALSE)&lt;&gt;"",VLOOKUP(convertString(B17, "item"),Items!$A$14:$X$432,23,FALSE),"")</f>
        <v/>
      </c>
      <c r="K17" s="9" t="str">
        <f>IF(VLOOKUP(convertString(B17, "item"),Items!$A$14:$X$432,24,FALSE)&lt;&gt;"",VLOOKUP(convertString(B17, "item"),Items!$A$14:$X$432,24,FALSE),"")</f>
        <v/>
      </c>
      <c r="L17" s="88" t="str">
        <f>IF(IF(convertString(B17, "suffix")&lt;&gt;"",VLOOKUP(convertString(B17, "suffix"),Items!$A$544:$Z$612,19,FALSE),"")&lt;&gt;"",IF(convertString(B17, "suffix")&lt;&gt;"",VLOOKUP(convertString(B17, "suffix"),Items!$A$544:$Z$612,19,FALSE),""),"")</f>
        <v/>
      </c>
      <c r="M17" s="9" t="str">
        <f>IF(IF(convertString(B17, "suffix")&lt;&gt;"",VLOOKUP(convertString(B17, "suffix"),Items!$A$544:$Z$612,20,FALSE),"")&lt;&gt;"",IF(convertString(B17, "suffix")&lt;&gt;"",VLOOKUP(convertString(B17, "suffix"),Items!$A$544:$Z$612,20,FALSE),""),"")</f>
        <v/>
      </c>
      <c r="N17" s="9" t="str">
        <f>IF(IF(convertString(B17, "suffix")&lt;&gt;"",VLOOKUP(convertString(B17, "suffix"),Items!$A$544:$Z$612,21,FALSE),"")&lt;&gt;"",IF(convertString(B17, "suffix")&lt;&gt;"",VLOOKUP(convertString(B17, "suffix"),Items!$A$544:$Z$612,21,FALSE),""),"")</f>
        <v/>
      </c>
      <c r="O17" s="88" t="str">
        <f>IF(IF(convertString(B17, "prefix")&lt;&gt;"",VLOOKUP(convertString(B17, "prefix"),Items!$A$544:$Z$612,19,FALSE),"")&lt;&gt;"",IF(convertString(B17, "prefix")&lt;&gt;"",VLOOKUP(convertString(B17, "prefix"),Items!$A$544:$Z$612,19,FALSE),""),"")</f>
        <v/>
      </c>
      <c r="P17" s="127" t="str">
        <f>IF(IF(convertString(B17, "prefix")&lt;&gt;"",VLOOKUP(convertString(B17, "prefix"),Items!$A$544:$Z$612,20,FALSE),"")&lt;&gt;"",IF(convertString(B17, "prefix")&lt;&gt;"",VLOOKUP(convertString(B17, "prefix"),Items!$A$544:$Z$612,20,FALSE),""),"")</f>
        <v/>
      </c>
      <c r="Q17" s="1" t="str">
        <f>IF(IF(convertString(B17, "prefix")&lt;&gt;"",VLOOKUP(convertString(B17, "prefix"),Items!$A$544:$Z$612,21,FALSE),"")&lt;&gt;"",IF(convertString(B17, "prefix")&lt;&gt;"",VLOOKUP(convertString(B17, "prefix"),Items!$A$544:$Z$612,21,FALSE),""),"")</f>
        <v/>
      </c>
    </row>
    <row r="18" spans="1:17" hidden="1">
      <c r="A18" s="172" t="s">
        <v>1146</v>
      </c>
      <c r="B18" s="52"/>
      <c r="C18" s="232" t="str">
        <f>IF(B18&lt;&gt;"",VLOOKUP(B18,Items!$A$616:$X$640,15,FALSE),"")</f>
        <v/>
      </c>
      <c r="D18" s="232" t="str">
        <f>IF(B18&lt;&gt;"",VLOOKUP(B18,Items!$A$616:$X$640,16,FALSE),"")</f>
        <v/>
      </c>
      <c r="E18" s="13" t="str">
        <f>IF(B18&lt;&gt;"",VLOOKUP(B18,Items!$A$616:$X$640,17,FALSE),"")</f>
        <v/>
      </c>
      <c r="F18" s="127" t="str">
        <f>IF(B18&lt;&gt;"",IF(VLOOKUP(B18,Items!$A$616:$X$640,19,FALSE)&lt;&gt;0,VLOOKUP(B18,Items!$A$616:$X$640,19,FALSE),""),"")</f>
        <v/>
      </c>
      <c r="G18" s="161" t="str">
        <f>IF(B18&lt;&gt;"",IF(VLOOKUP(B18,Items!$A$616:$X$640,20,FALSE)&lt;&gt;0,VLOOKUP(B18,Items!$A$616:$X$640,20,FALSE),""),"")</f>
        <v/>
      </c>
      <c r="H18" s="9" t="str">
        <f>IF(B18&lt;&gt;"",IF(VLOOKUP(B18,Items!$A$616:$X$640,21,FALSE)&lt;&gt;0,VLOOKUP(B18,Items!$A$616:$X$640,21,FALSE),""),"")</f>
        <v/>
      </c>
      <c r="I18" s="88" t="str">
        <f>IF(B18&lt;&gt;"",IF(VLOOKUP(B18,Items!$A$616:$X$640,22,FALSE)&lt;&gt;0,VLOOKUP(B18,Items!$A$616:$X$640,22,FALSE),""),"")</f>
        <v/>
      </c>
      <c r="J18" s="9" t="str">
        <f>IF(B18&lt;&gt;"",IF(VLOOKUP(B18,Items!$A$616:$X$640,23,FALSE)&lt;&gt;0,VLOOKUP(B18,Items!$A$616:$X$640,23,FALSE),""),"")</f>
        <v/>
      </c>
      <c r="K18" s="1" t="str">
        <f>IF(B18&lt;&gt;"",IF(VLOOKUP(B18,Items!$A$616:$X$640,24,FALSE)&lt;&gt;0,VLOOKUP(B18,Items!$A$616:$X$640,24,FALSE),""),"")</f>
        <v/>
      </c>
      <c r="L18" s="88"/>
      <c r="M18" s="9"/>
      <c r="N18" s="9"/>
      <c r="O18" s="88"/>
      <c r="P18" s="127"/>
      <c r="Q18" s="1"/>
    </row>
    <row r="19" spans="1:17" hidden="1">
      <c r="A19" s="172" t="s">
        <v>1147</v>
      </c>
      <c r="B19" s="52"/>
      <c r="C19" s="232" t="str">
        <f>IF(B19&lt;&gt;"",VLOOKUP(B19,Items!$A$616:$X$640,15,FALSE),"")</f>
        <v/>
      </c>
      <c r="D19" s="232" t="str">
        <f>IF(B19&lt;&gt;"",VLOOKUP(B19,Items!$A$616:$X$640,16,FALSE),"")</f>
        <v/>
      </c>
      <c r="E19" s="13" t="str">
        <f>IF(B19&lt;&gt;"",VLOOKUP(B19,Items!$A$616:$X$640,17,FALSE),"")</f>
        <v/>
      </c>
      <c r="F19" s="127" t="str">
        <f>IF(B19&lt;&gt;"",IF(VLOOKUP(B19,Items!$A$616:$X$640,19,FALSE)&lt;&gt;0,VLOOKUP(B19,Items!$A$616:$X$640,19,FALSE),""),"")</f>
        <v/>
      </c>
      <c r="G19" s="161" t="str">
        <f>IF(B19&lt;&gt;"",IF(VLOOKUP(B19,Items!$A$616:$X$640,20,FALSE)&lt;&gt;0,VLOOKUP(B19,Items!$A$616:$X$640,20,FALSE),""),"")</f>
        <v/>
      </c>
      <c r="H19" s="9" t="str">
        <f>IF(B19&lt;&gt;"",IF(VLOOKUP(B19,Items!$A$616:$X$640,21,FALSE)&lt;&gt;0,VLOOKUP(B19,Items!$A$616:$X$640,21,FALSE),""),"")</f>
        <v/>
      </c>
      <c r="I19" s="88" t="str">
        <f>IF(B19&lt;&gt;"",IF(VLOOKUP(B19,Items!$A$616:$X$640,22,FALSE)&lt;&gt;0,VLOOKUP(B19,Items!$A$616:$X$640,22,FALSE),""),"")</f>
        <v/>
      </c>
      <c r="J19" s="9" t="str">
        <f>IF(B19&lt;&gt;"",IF(VLOOKUP(B19,Items!$A$616:$X$640,23,FALSE)&lt;&gt;0,VLOOKUP(B19,Items!$A$616:$X$640,23,FALSE),""),"")</f>
        <v/>
      </c>
      <c r="K19" s="1" t="str">
        <f>IF(B19&lt;&gt;"",IF(VLOOKUP(B19,Items!$A$616:$X$640,24,FALSE)&lt;&gt;0,VLOOKUP(B19,Items!$A$616:$X$640,24,FALSE),""),"")</f>
        <v/>
      </c>
      <c r="L19" s="88"/>
      <c r="M19" s="9"/>
      <c r="N19" s="9"/>
      <c r="O19" s="88"/>
      <c r="P19" s="127"/>
      <c r="Q19" s="1"/>
    </row>
    <row r="20" spans="1:17" hidden="1">
      <c r="A20" s="172" t="s">
        <v>1148</v>
      </c>
      <c r="B20" s="52"/>
      <c r="C20" s="232" t="str">
        <f>IF(B20&lt;&gt;"",VLOOKUP(B20,Items!$A$616:$X$640,15,FALSE),"")</f>
        <v/>
      </c>
      <c r="D20" s="232" t="str">
        <f>IF(B20&lt;&gt;"",VLOOKUP(B20,Items!$A$616:$X$640,16,FALSE),"")</f>
        <v/>
      </c>
      <c r="E20" s="13" t="str">
        <f>IF(B20&lt;&gt;"",VLOOKUP(B20,Items!$A$616:$X$640,17,FALSE),"")</f>
        <v/>
      </c>
      <c r="F20" s="127" t="str">
        <f>IF(B20&lt;&gt;"",IF(VLOOKUP(B20,Items!$A$616:$X$640,19,FALSE)&lt;&gt;0,VLOOKUP(B20,Items!$A$616:$X$640,19,FALSE),""),"")</f>
        <v/>
      </c>
      <c r="G20" s="161" t="str">
        <f>IF(B20&lt;&gt;"",IF(VLOOKUP(B20,Items!$A$616:$X$640,20,FALSE)&lt;&gt;0,VLOOKUP(B20,Items!$A$616:$X$640,20,FALSE),""),"")</f>
        <v/>
      </c>
      <c r="H20" s="9" t="str">
        <f>IF(B20&lt;&gt;"",IF(VLOOKUP(B20,Items!$A$616:$X$640,21,FALSE)&lt;&gt;0,VLOOKUP(B20,Items!$A$616:$X$640,21,FALSE),""),"")</f>
        <v/>
      </c>
      <c r="I20" s="88" t="str">
        <f>IF(B20&lt;&gt;"",IF(VLOOKUP(B20,Items!$A$616:$X$640,22,FALSE)&lt;&gt;0,VLOOKUP(B20,Items!$A$616:$X$640,22,FALSE),""),"")</f>
        <v/>
      </c>
      <c r="J20" s="9" t="str">
        <f>IF(B20&lt;&gt;"",IF(VLOOKUP(B20,Items!$A$616:$X$640,23,FALSE)&lt;&gt;0,VLOOKUP(B20,Items!$A$616:$X$640,23,FALSE),""),"")</f>
        <v/>
      </c>
      <c r="K20" s="1" t="str">
        <f>IF(B20&lt;&gt;"",IF(VLOOKUP(B20,Items!$A$616:$X$640,24,FALSE)&lt;&gt;0,VLOOKUP(B20,Items!$A$616:$X$640,24,FALSE),""),"")</f>
        <v/>
      </c>
      <c r="L20" s="88"/>
      <c r="M20" s="9"/>
      <c r="N20" s="9"/>
      <c r="O20" s="88"/>
      <c r="P20" s="127"/>
      <c r="Q20" s="1"/>
    </row>
    <row r="21" spans="1:17" hidden="1">
      <c r="A21" s="172" t="s">
        <v>1149</v>
      </c>
      <c r="B21" s="52"/>
      <c r="C21" s="232" t="str">
        <f>IF(B21&lt;&gt;"",VLOOKUP(B21,Items!$A$616:$X$640,15,FALSE),"")</f>
        <v/>
      </c>
      <c r="D21" s="232" t="str">
        <f>IF(B21&lt;&gt;"",VLOOKUP(B21,Items!$A$616:$X$640,16,FALSE),"")</f>
        <v/>
      </c>
      <c r="E21" s="13" t="str">
        <f>IF(B21&lt;&gt;"",VLOOKUP(B21,Items!$A$616:$X$640,17,FALSE),"")</f>
        <v/>
      </c>
      <c r="F21" s="127" t="str">
        <f>IF(B21&lt;&gt;"",IF(VLOOKUP(B21,Items!$A$616:$X$640,19,FALSE)&lt;&gt;0,VLOOKUP(B21,Items!$A$616:$X$640,19,FALSE),""),"")</f>
        <v/>
      </c>
      <c r="G21" s="161" t="str">
        <f>IF(B21&lt;&gt;"",IF(VLOOKUP(B21,Items!$A$616:$X$640,20,FALSE)&lt;&gt;0,VLOOKUP(B21,Items!$A$616:$X$640,20,FALSE),""),"")</f>
        <v/>
      </c>
      <c r="H21" s="9" t="str">
        <f>IF(B21&lt;&gt;"",IF(VLOOKUP(B21,Items!$A$616:$X$640,21,FALSE)&lt;&gt;0,VLOOKUP(B21,Items!$A$616:$X$640,21,FALSE),""),"")</f>
        <v/>
      </c>
      <c r="I21" s="88" t="str">
        <f>IF(B21&lt;&gt;"",IF(VLOOKUP(B21,Items!$A$616:$X$640,22,FALSE)&lt;&gt;0,VLOOKUP(B21,Items!$A$616:$X$640,22,FALSE),""),"")</f>
        <v/>
      </c>
      <c r="J21" s="9" t="str">
        <f>IF(B21&lt;&gt;"",IF(VLOOKUP(B21,Items!$A$616:$X$640,23,FALSE)&lt;&gt;0,VLOOKUP(B21,Items!$A$616:$X$640,23,FALSE),""),"")</f>
        <v/>
      </c>
      <c r="K21" s="1" t="str">
        <f>IF(B21&lt;&gt;"",IF(VLOOKUP(B21,Items!$A$616:$X$640,24,FALSE)&lt;&gt;0,VLOOKUP(B21,Items!$A$616:$X$640,24,FALSE),""),"")</f>
        <v/>
      </c>
      <c r="L21" s="88"/>
      <c r="M21" s="9"/>
      <c r="N21" s="9"/>
      <c r="O21" s="88"/>
      <c r="P21" s="127"/>
      <c r="Q21" s="1"/>
    </row>
    <row r="22" spans="1:17" hidden="1">
      <c r="A22" s="172" t="s">
        <v>1150</v>
      </c>
      <c r="B22" s="52"/>
      <c r="C22" s="232" t="str">
        <f>IF(B22&lt;&gt;"",VLOOKUP(B22,Items!$A$616:$X$640,15,FALSE),"")</f>
        <v/>
      </c>
      <c r="D22" s="232" t="str">
        <f>IF(B22&lt;&gt;"",VLOOKUP(B22,Items!$A$616:$X$640,16,FALSE),"")</f>
        <v/>
      </c>
      <c r="E22" s="13" t="str">
        <f>IF(B22&lt;&gt;"",VLOOKUP(B22,Items!$A$616:$X$640,17,FALSE),"")</f>
        <v/>
      </c>
      <c r="F22" s="127" t="str">
        <f>IF(B22&lt;&gt;"",IF(VLOOKUP(B22,Items!$A$616:$X$640,19,FALSE)&lt;&gt;0,VLOOKUP(B22,Items!$A$616:$X$640,19,FALSE),""),"")</f>
        <v/>
      </c>
      <c r="G22" s="161" t="str">
        <f>IF(B22&lt;&gt;"",IF(VLOOKUP(B22,Items!$A$616:$X$640,20,FALSE)&lt;&gt;0,VLOOKUP(B22,Items!$A$616:$X$640,20,FALSE),""),"")</f>
        <v/>
      </c>
      <c r="H22" s="9" t="str">
        <f>IF(B22&lt;&gt;"",IF(VLOOKUP(B22,Items!$A$616:$X$640,21,FALSE)&lt;&gt;0,VLOOKUP(B22,Items!$A$616:$X$640,21,FALSE),""),"")</f>
        <v/>
      </c>
      <c r="I22" s="88" t="str">
        <f>IF(B22&lt;&gt;"",IF(VLOOKUP(B22,Items!$A$616:$X$640,22,FALSE)&lt;&gt;0,VLOOKUP(B22,Items!$A$616:$X$640,22,FALSE),""),"")</f>
        <v/>
      </c>
      <c r="J22" s="9" t="str">
        <f>IF(B22&lt;&gt;"",IF(VLOOKUP(B22,Items!$A$616:$X$640,23,FALSE)&lt;&gt;0,VLOOKUP(B22,Items!$A$616:$X$640,23,FALSE),""),"")</f>
        <v/>
      </c>
      <c r="K22" s="1" t="str">
        <f>IF(B22&lt;&gt;"",IF(VLOOKUP(B22,Items!$A$616:$X$640,24,FALSE)&lt;&gt;0,VLOOKUP(B22,Items!$A$616:$X$640,24,FALSE),""),"")</f>
        <v/>
      </c>
      <c r="L22" s="88"/>
      <c r="M22" s="9"/>
      <c r="N22" s="9"/>
      <c r="O22" s="88"/>
      <c r="P22" s="127"/>
      <c r="Q22" s="1"/>
    </row>
    <row r="23" spans="1:17" hidden="1">
      <c r="A23" s="172" t="s">
        <v>1151</v>
      </c>
      <c r="B23" s="52"/>
      <c r="C23" s="232" t="str">
        <f>IF(B23&lt;&gt;"",VLOOKUP(B23,Items!$A$616:$X$640,15,FALSE),"")</f>
        <v/>
      </c>
      <c r="D23" s="232" t="str">
        <f>IF(B23&lt;&gt;"",VLOOKUP(B23,Items!$A$616:$X$640,16,FALSE),"")</f>
        <v/>
      </c>
      <c r="E23" s="13" t="str">
        <f>IF(B23&lt;&gt;"",VLOOKUP(B23,Items!$A$616:$X$640,17,FALSE),"")</f>
        <v/>
      </c>
      <c r="F23" s="127" t="str">
        <f>IF(B23&lt;&gt;"",IF(VLOOKUP(B23,Items!$A$616:$X$640,19,FALSE)&lt;&gt;0,VLOOKUP(B23,Items!$A$616:$X$640,19,FALSE),""),"")</f>
        <v/>
      </c>
      <c r="G23" s="161" t="str">
        <f>IF(B23&lt;&gt;"",IF(VLOOKUP(B23,Items!$A$616:$X$640,20,FALSE)&lt;&gt;0,VLOOKUP(B23,Items!$A$616:$X$640,20,FALSE),""),"")</f>
        <v/>
      </c>
      <c r="H23" s="9" t="str">
        <f>IF(B23&lt;&gt;"",IF(VLOOKUP(B23,Items!$A$616:$X$640,21,FALSE)&lt;&gt;0,VLOOKUP(B23,Items!$A$616:$X$640,21,FALSE),""),"")</f>
        <v/>
      </c>
      <c r="I23" s="88" t="str">
        <f>IF(B23&lt;&gt;"",IF(VLOOKUP(B23,Items!$A$616:$X$640,22,FALSE)&lt;&gt;0,VLOOKUP(B23,Items!$A$616:$X$640,22,FALSE),""),"")</f>
        <v/>
      </c>
      <c r="J23" s="9" t="str">
        <f>IF(B23&lt;&gt;"",IF(VLOOKUP(B23,Items!$A$616:$X$640,23,FALSE)&lt;&gt;0,VLOOKUP(B23,Items!$A$616:$X$640,23,FALSE),""),"")</f>
        <v/>
      </c>
      <c r="K23" s="1" t="str">
        <f>IF(B23&lt;&gt;"",IF(VLOOKUP(B23,Items!$A$616:$X$640,24,FALSE)&lt;&gt;0,VLOOKUP(B23,Items!$A$616:$X$640,24,FALSE),""),"")</f>
        <v/>
      </c>
      <c r="L23" s="88"/>
      <c r="M23" s="9"/>
      <c r="N23" s="9"/>
      <c r="O23" s="88"/>
      <c r="P23" s="127"/>
      <c r="Q23" s="1"/>
    </row>
    <row r="24" spans="1:17">
      <c r="A24" s="47" t="s">
        <v>567</v>
      </c>
      <c r="B24" s="52" t="s">
        <v>77</v>
      </c>
      <c r="C24" s="232">
        <f>IF(convertString(B24, "prefix")&lt;&gt;"",VLOOKUP(convertString(B24, "prefix"),Items!$A$544:$Z$612,15,FALSE),0) + IF(convertString(B24, "item")&lt;&gt;"",VLOOKUP(convertString(B24, "item"),Items!$A$14:$X$432,15,FALSE),0) + IF(convertString(B24, "suffix")&lt;&gt;"",VLOOKUP(convertString(B24, "suffix"),Items!$A$544:$Z$612,15,FALSE),0) + SUM(C25:C30)</f>
        <v>0</v>
      </c>
      <c r="D24" s="232">
        <f>IF(convertString(B24, "prefix")&lt;&gt;"",VLOOKUP(convertString(B24, "prefix"),Items!$A$544:$Z$612,16,FALSE),0) + IF(convertString(B24, "item")&lt;&gt;"",VLOOKUP(convertString(B24, "item"),Items!$A$14:$X$432,16,FALSE),0) + IF(convertString(B24, "suffix")&lt;&gt;"",VLOOKUP(convertString(B24, "suffix"),Items!$A$544:$Z$612,16,FALSE),0)+SUM(D25:D30)</f>
        <v>1</v>
      </c>
      <c r="E24" s="232">
        <f>IF(convertString(B24, "prefix")&lt;&gt;"",VLOOKUP(convertString(B24, "prefix"),Items!$A$544:$Z$612,17,FALSE),0) + IF(convertString(B24, "item")&lt;&gt;"",VLOOKUP(convertString(B24, "item"),Items!$A$14:$X$432,17,FALSE),0) + IF(convertString(B24, "suffix")&lt;&gt;"",VLOOKUP(convertString(B24, "suffix"),Items!$A$544:$Z$612,17,FALSE),0)+SUM(E25:E30)</f>
        <v>0</v>
      </c>
      <c r="F24" s="88" t="str">
        <f>IF(VLOOKUP(convertString(B24, "item"),Items!$A$14:$X$432,19,FALSE)&lt;&gt;"",VLOOKUP(convertString(B24, "item"),Items!$A$14:$X$432,19,FALSE),"")</f>
        <v/>
      </c>
      <c r="G24" s="118" t="str">
        <f>IF(VLOOKUP(convertString(B24, "item"),Items!$A$14:$X$432,20,FALSE)&lt;&gt;0,VLOOKUP(convertString(B24, "item"),Items!$A$14:$X$432,20,FALSE),"")</f>
        <v/>
      </c>
      <c r="H24" s="9" t="str">
        <f>IF(VLOOKUP(convertString(B24, "item"),Items!$A$14:$X$432,21,FALSE)&lt;&gt;"",VLOOKUP(convertString(B24, "item"),Items!$A$14:$X$432,21,FALSE),"")</f>
        <v/>
      </c>
      <c r="I24" s="88" t="str">
        <f>IF(VLOOKUP(convertString(B24, "item"),Items!$A$14:$X$432,22,FALSE)&lt;&gt;"",VLOOKUP(convertString(B24, "item"),Items!$A$14:$X$432,22,FALSE),"")</f>
        <v/>
      </c>
      <c r="J24" s="161" t="str">
        <f>IF(VLOOKUP(convertString(B24, "item"),Items!$A$14:$X$432,23,FALSE)&lt;&gt;"",VLOOKUP(convertString(B24, "item"),Items!$A$14:$X$432,23,FALSE),"")</f>
        <v/>
      </c>
      <c r="K24" s="9" t="str">
        <f>IF(VLOOKUP(convertString(B24, "item"),Items!$A$14:$X$432,24,FALSE)&lt;&gt;"",VLOOKUP(convertString(B24, "item"),Items!$A$14:$X$432,24,FALSE),"")</f>
        <v/>
      </c>
      <c r="L24" s="88" t="str">
        <f>IF(IF(convertString(B24, "suffix")&lt;&gt;"",VLOOKUP(convertString(B24, "suffix"),Items!$A$544:$Z$612,19,FALSE),"")&lt;&gt;"",IF(convertString(B24, "suffix")&lt;&gt;"",VLOOKUP(convertString(B24, "suffix"),Items!$A$544:$Z$612,19,FALSE),""),"")</f>
        <v/>
      </c>
      <c r="M24" s="9" t="str">
        <f>IF(IF(convertString(B24, "suffix")&lt;&gt;"",VLOOKUP(convertString(B24, "suffix"),Items!$A$544:$Z$612,20,FALSE),"")&lt;&gt;"",IF(convertString(B24, "suffix")&lt;&gt;"",VLOOKUP(convertString(B24, "suffix"),Items!$A$544:$Z$612,20,FALSE),""),"")</f>
        <v/>
      </c>
      <c r="N24" s="9" t="str">
        <f>IF(IF(convertString(B24, "suffix")&lt;&gt;"",VLOOKUP(convertString(B24, "suffix"),Items!$A$544:$Z$612,21,FALSE),"")&lt;&gt;"",IF(convertString(B24, "suffix")&lt;&gt;"",VLOOKUP(convertString(B24, "suffix"),Items!$A$544:$Z$612,21,FALSE),""),"")</f>
        <v/>
      </c>
      <c r="O24" s="88" t="str">
        <f>IF(IF(convertString(B24, "prefix")&lt;&gt;"",VLOOKUP(convertString(B24, "prefix"),Items!$A$544:$Z$612,19,FALSE),"")&lt;&gt;"",IF(convertString(B24, "prefix")&lt;&gt;"",VLOOKUP(convertString(B24, "prefix"),Items!$A$544:$Z$612,19,FALSE),""),"")</f>
        <v/>
      </c>
      <c r="P24" s="127" t="str">
        <f>IF(IF(convertString(B24, "prefix")&lt;&gt;"",VLOOKUP(convertString(B24, "prefix"),Items!$A$544:$Z$612,20,FALSE),"")&lt;&gt;"",IF(convertString(B24, "prefix")&lt;&gt;"",VLOOKUP(convertString(B24, "prefix"),Items!$A$544:$Z$612,20,FALSE),""),"")</f>
        <v/>
      </c>
      <c r="Q24" s="1" t="str">
        <f>IF(IF(convertString(B24, "prefix")&lt;&gt;"",VLOOKUP(convertString(B24, "prefix"),Items!$A$544:$Z$612,21,FALSE),"")&lt;&gt;"",IF(convertString(B24, "prefix")&lt;&gt;"",VLOOKUP(convertString(B24, "prefix"),Items!$A$544:$Z$612,21,FALSE),""),"")</f>
        <v/>
      </c>
    </row>
    <row r="25" spans="1:17" hidden="1">
      <c r="A25" s="172" t="s">
        <v>1146</v>
      </c>
      <c r="B25" s="52"/>
      <c r="C25" s="232" t="str">
        <f>IF(B25&lt;&gt;"",VLOOKUP(B25,Items!$A$616:$X$640,15,FALSE),"")</f>
        <v/>
      </c>
      <c r="D25" s="232" t="str">
        <f>IF(B25&lt;&gt;"",VLOOKUP(B25,Items!$A$616:$X$640,16,FALSE),"")</f>
        <v/>
      </c>
      <c r="E25" s="13" t="str">
        <f>IF(B25&lt;&gt;"",VLOOKUP(B25,Items!$A$616:$X$640,17,FALSE),"")</f>
        <v/>
      </c>
      <c r="F25" s="127" t="str">
        <f>IF(B25&lt;&gt;"",IF(VLOOKUP(B25,Items!$A$616:$X$640,19,FALSE)&lt;&gt;0,VLOOKUP(B25,Items!$A$616:$X$640,19,FALSE),""),"")</f>
        <v/>
      </c>
      <c r="G25" s="161" t="str">
        <f>IF(B25&lt;&gt;"",IF(VLOOKUP(B25,Items!$A$616:$X$640,20,FALSE)&lt;&gt;0,VLOOKUP(B25,Items!$A$616:$X$640,20,FALSE),""),"")</f>
        <v/>
      </c>
      <c r="H25" s="9" t="str">
        <f>IF(B25&lt;&gt;"",IF(VLOOKUP(B25,Items!$A$616:$X$640,21,FALSE)&lt;&gt;0,VLOOKUP(B25,Items!$A$616:$X$640,21,FALSE),""),"")</f>
        <v/>
      </c>
      <c r="I25" s="88" t="str">
        <f>IF(B25&lt;&gt;"",IF(VLOOKUP(B25,Items!$A$616:$X$640,22,FALSE)&lt;&gt;0,VLOOKUP(B25,Items!$A$616:$X$640,22,FALSE),""),"")</f>
        <v/>
      </c>
      <c r="J25" s="9" t="str">
        <f>IF(B25&lt;&gt;"",IF(VLOOKUP(B25,Items!$A$616:$X$640,23,FALSE)&lt;&gt;0,VLOOKUP(B25,Items!$A$616:$X$640,23,FALSE),""),"")</f>
        <v/>
      </c>
      <c r="K25" s="1" t="str">
        <f>IF(B25&lt;&gt;"",IF(VLOOKUP(B25,Items!$A$616:$X$640,24,FALSE)&lt;&gt;0,VLOOKUP(B25,Items!$A$616:$X$640,24,FALSE),""),"")</f>
        <v/>
      </c>
      <c r="L25" s="88"/>
      <c r="M25" s="9"/>
      <c r="N25" s="9"/>
      <c r="O25" s="88"/>
      <c r="P25" s="127"/>
      <c r="Q25" s="1"/>
    </row>
    <row r="26" spans="1:17" hidden="1">
      <c r="A26" s="172" t="s">
        <v>1147</v>
      </c>
      <c r="B26" s="52"/>
      <c r="C26" s="232" t="str">
        <f>IF(B26&lt;&gt;"",VLOOKUP(B26,Items!$A$616:$X$640,15,FALSE),"")</f>
        <v/>
      </c>
      <c r="D26" s="232" t="str">
        <f>IF(B26&lt;&gt;"",VLOOKUP(B26,Items!$A$616:$X$640,16,FALSE),"")</f>
        <v/>
      </c>
      <c r="E26" s="13" t="str">
        <f>IF(B26&lt;&gt;"",VLOOKUP(B26,Items!$A$616:$X$640,17,FALSE),"")</f>
        <v/>
      </c>
      <c r="F26" s="127" t="str">
        <f>IF(B26&lt;&gt;"",IF(VLOOKUP(B26,Items!$A$616:$X$640,19,FALSE)&lt;&gt;0,VLOOKUP(B26,Items!$A$616:$X$640,19,FALSE),""),"")</f>
        <v/>
      </c>
      <c r="G26" s="161" t="str">
        <f>IF(B26&lt;&gt;"",IF(VLOOKUP(B26,Items!$A$616:$X$640,20,FALSE)&lt;&gt;0,VLOOKUP(B26,Items!$A$616:$X$640,20,FALSE),""),"")</f>
        <v/>
      </c>
      <c r="H26" s="9" t="str">
        <f>IF(B26&lt;&gt;"",IF(VLOOKUP(B26,Items!$A$616:$X$640,21,FALSE)&lt;&gt;0,VLOOKUP(B26,Items!$A$616:$X$640,21,FALSE),""),"")</f>
        <v/>
      </c>
      <c r="I26" s="88" t="str">
        <f>IF(B26&lt;&gt;"",IF(VLOOKUP(B26,Items!$A$616:$X$640,22,FALSE)&lt;&gt;0,VLOOKUP(B26,Items!$A$616:$X$640,22,FALSE),""),"")</f>
        <v/>
      </c>
      <c r="J26" s="9" t="str">
        <f>IF(B26&lt;&gt;"",IF(VLOOKUP(B26,Items!$A$616:$X$640,23,FALSE)&lt;&gt;0,VLOOKUP(B26,Items!$A$616:$X$640,23,FALSE),""),"")</f>
        <v/>
      </c>
      <c r="K26" s="1" t="str">
        <f>IF(B26&lt;&gt;"",IF(VLOOKUP(B26,Items!$A$616:$X$640,24,FALSE)&lt;&gt;0,VLOOKUP(B26,Items!$A$616:$X$640,24,FALSE),""),"")</f>
        <v/>
      </c>
      <c r="L26" s="88"/>
      <c r="M26" s="9"/>
      <c r="N26" s="9"/>
      <c r="O26" s="88"/>
      <c r="P26" s="127"/>
      <c r="Q26" s="1"/>
    </row>
    <row r="27" spans="1:17" hidden="1">
      <c r="A27" s="172" t="s">
        <v>1148</v>
      </c>
      <c r="B27" s="52"/>
      <c r="C27" s="232" t="str">
        <f>IF(B27&lt;&gt;"",VLOOKUP(B27,Items!$A$616:$X$640,15,FALSE),"")</f>
        <v/>
      </c>
      <c r="D27" s="232" t="str">
        <f>IF(B27&lt;&gt;"",VLOOKUP(B27,Items!$A$616:$X$640,16,FALSE),"")</f>
        <v/>
      </c>
      <c r="E27" s="13" t="str">
        <f>IF(B27&lt;&gt;"",VLOOKUP(B27,Items!$A$616:$X$640,17,FALSE),"")</f>
        <v/>
      </c>
      <c r="F27" s="127" t="str">
        <f>IF(B27&lt;&gt;"",IF(VLOOKUP(B27,Items!$A$616:$X$640,19,FALSE)&lt;&gt;0,VLOOKUP(B27,Items!$A$616:$X$640,19,FALSE),""),"")</f>
        <v/>
      </c>
      <c r="G27" s="161" t="str">
        <f>IF(B27&lt;&gt;"",IF(VLOOKUP(B27,Items!$A$616:$X$640,20,FALSE)&lt;&gt;0,VLOOKUP(B27,Items!$A$616:$X$640,20,FALSE),""),"")</f>
        <v/>
      </c>
      <c r="H27" s="9" t="str">
        <f>IF(B27&lt;&gt;"",IF(VLOOKUP(B27,Items!$A$616:$X$640,21,FALSE)&lt;&gt;0,VLOOKUP(B27,Items!$A$616:$X$640,21,FALSE),""),"")</f>
        <v/>
      </c>
      <c r="I27" s="88" t="str">
        <f>IF(B27&lt;&gt;"",IF(VLOOKUP(B27,Items!$A$616:$X$640,22,FALSE)&lt;&gt;0,VLOOKUP(B27,Items!$A$616:$X$640,22,FALSE),""),"")</f>
        <v/>
      </c>
      <c r="J27" s="9" t="str">
        <f>IF(B27&lt;&gt;"",IF(VLOOKUP(B27,Items!$A$616:$X$640,23,FALSE)&lt;&gt;0,VLOOKUP(B27,Items!$A$616:$X$640,23,FALSE),""),"")</f>
        <v/>
      </c>
      <c r="K27" s="1" t="str">
        <f>IF(B27&lt;&gt;"",IF(VLOOKUP(B27,Items!$A$616:$X$640,24,FALSE)&lt;&gt;0,VLOOKUP(B27,Items!$A$616:$X$640,24,FALSE),""),"")</f>
        <v/>
      </c>
      <c r="L27" s="88"/>
      <c r="M27" s="9"/>
      <c r="N27" s="9"/>
      <c r="O27" s="88"/>
      <c r="P27" s="127"/>
      <c r="Q27" s="1"/>
    </row>
    <row r="28" spans="1:17" hidden="1">
      <c r="A28" s="172" t="s">
        <v>1149</v>
      </c>
      <c r="B28" s="52"/>
      <c r="C28" s="232" t="str">
        <f>IF(B28&lt;&gt;"",VLOOKUP(B28,Items!$A$616:$X$640,15,FALSE),"")</f>
        <v/>
      </c>
      <c r="D28" s="232" t="str">
        <f>IF(B28&lt;&gt;"",VLOOKUP(B28,Items!$A$616:$X$640,16,FALSE),"")</f>
        <v/>
      </c>
      <c r="E28" s="13" t="str">
        <f>IF(B28&lt;&gt;"",VLOOKUP(B28,Items!$A$616:$X$640,17,FALSE),"")</f>
        <v/>
      </c>
      <c r="F28" s="127" t="str">
        <f>IF(B28&lt;&gt;"",IF(VLOOKUP(B28,Items!$A$616:$X$640,19,FALSE)&lt;&gt;0,VLOOKUP(B28,Items!$A$616:$X$640,19,FALSE),""),"")</f>
        <v/>
      </c>
      <c r="G28" s="161" t="str">
        <f>IF(B28&lt;&gt;"",IF(VLOOKUP(B28,Items!$A$616:$X$640,20,FALSE)&lt;&gt;0,VLOOKUP(B28,Items!$A$616:$X$640,20,FALSE),""),"")</f>
        <v/>
      </c>
      <c r="H28" s="9" t="str">
        <f>IF(B28&lt;&gt;"",IF(VLOOKUP(B28,Items!$A$616:$X$640,21,FALSE)&lt;&gt;0,VLOOKUP(B28,Items!$A$616:$X$640,21,FALSE),""),"")</f>
        <v/>
      </c>
      <c r="I28" s="88" t="str">
        <f>IF(B28&lt;&gt;"",IF(VLOOKUP(B28,Items!$A$616:$X$640,22,FALSE)&lt;&gt;0,VLOOKUP(B28,Items!$A$616:$X$640,22,FALSE),""),"")</f>
        <v/>
      </c>
      <c r="J28" s="9" t="str">
        <f>IF(B28&lt;&gt;"",IF(VLOOKUP(B28,Items!$A$616:$X$640,23,FALSE)&lt;&gt;0,VLOOKUP(B28,Items!$A$616:$X$640,23,FALSE),""),"")</f>
        <v/>
      </c>
      <c r="K28" s="1" t="str">
        <f>IF(B28&lt;&gt;"",IF(VLOOKUP(B28,Items!$A$616:$X$640,24,FALSE)&lt;&gt;0,VLOOKUP(B28,Items!$A$616:$X$640,24,FALSE),""),"")</f>
        <v/>
      </c>
      <c r="L28" s="88"/>
      <c r="M28" s="9"/>
      <c r="N28" s="9"/>
      <c r="O28" s="88"/>
      <c r="P28" s="127"/>
      <c r="Q28" s="1"/>
    </row>
    <row r="29" spans="1:17" hidden="1">
      <c r="A29" s="172" t="s">
        <v>1150</v>
      </c>
      <c r="B29" s="52"/>
      <c r="C29" s="232" t="str">
        <f>IF(B29&lt;&gt;"",VLOOKUP(B29,Items!$A$616:$X$640,15,FALSE),"")</f>
        <v/>
      </c>
      <c r="D29" s="232" t="str">
        <f>IF(B29&lt;&gt;"",VLOOKUP(B29,Items!$A$616:$X$640,16,FALSE),"")</f>
        <v/>
      </c>
      <c r="E29" s="13" t="str">
        <f>IF(B29&lt;&gt;"",VLOOKUP(B29,Items!$A$616:$X$640,17,FALSE),"")</f>
        <v/>
      </c>
      <c r="F29" s="127" t="str">
        <f>IF(B29&lt;&gt;"",IF(VLOOKUP(B29,Items!$A$616:$X$640,19,FALSE)&lt;&gt;0,VLOOKUP(B29,Items!$A$616:$X$640,19,FALSE),""),"")</f>
        <v/>
      </c>
      <c r="G29" s="161" t="str">
        <f>IF(B29&lt;&gt;"",IF(VLOOKUP(B29,Items!$A$616:$X$640,20,FALSE)&lt;&gt;0,VLOOKUP(B29,Items!$A$616:$X$640,20,FALSE),""),"")</f>
        <v/>
      </c>
      <c r="H29" s="9" t="str">
        <f>IF(B29&lt;&gt;"",IF(VLOOKUP(B29,Items!$A$616:$X$640,21,FALSE)&lt;&gt;0,VLOOKUP(B29,Items!$A$616:$X$640,21,FALSE),""),"")</f>
        <v/>
      </c>
      <c r="I29" s="88" t="str">
        <f>IF(B29&lt;&gt;"",IF(VLOOKUP(B29,Items!$A$616:$X$640,22,FALSE)&lt;&gt;0,VLOOKUP(B29,Items!$A$616:$X$640,22,FALSE),""),"")</f>
        <v/>
      </c>
      <c r="J29" s="9" t="str">
        <f>IF(B29&lt;&gt;"",IF(VLOOKUP(B29,Items!$A$616:$X$640,23,FALSE)&lt;&gt;0,VLOOKUP(B29,Items!$A$616:$X$640,23,FALSE),""),"")</f>
        <v/>
      </c>
      <c r="K29" s="1" t="str">
        <f>IF(B29&lt;&gt;"",IF(VLOOKUP(B29,Items!$A$616:$X$640,24,FALSE)&lt;&gt;0,VLOOKUP(B29,Items!$A$616:$X$640,24,FALSE),""),"")</f>
        <v/>
      </c>
      <c r="L29" s="88"/>
      <c r="M29" s="9"/>
      <c r="N29" s="9"/>
      <c r="O29" s="88"/>
      <c r="P29" s="127"/>
      <c r="Q29" s="1"/>
    </row>
    <row r="30" spans="1:17" hidden="1">
      <c r="A30" s="172" t="s">
        <v>1151</v>
      </c>
      <c r="B30" s="52"/>
      <c r="C30" s="232" t="str">
        <f>IF(B30&lt;&gt;"",VLOOKUP(B30,Items!$A$616:$X$640,15,FALSE),"")</f>
        <v/>
      </c>
      <c r="D30" s="232" t="str">
        <f>IF(B30&lt;&gt;"",VLOOKUP(B30,Items!$A$616:$X$640,16,FALSE),"")</f>
        <v/>
      </c>
      <c r="E30" s="13" t="str">
        <f>IF(B30&lt;&gt;"",VLOOKUP(B30,Items!$A$616:$X$640,17,FALSE),"")</f>
        <v/>
      </c>
      <c r="F30" s="127" t="str">
        <f>IF(B30&lt;&gt;"",IF(VLOOKUP(B30,Items!$A$616:$X$640,19,FALSE)&lt;&gt;0,VLOOKUP(B30,Items!$A$616:$X$640,19,FALSE),""),"")</f>
        <v/>
      </c>
      <c r="G30" s="161" t="str">
        <f>IF(B30&lt;&gt;"",IF(VLOOKUP(B30,Items!$A$616:$X$640,20,FALSE)&lt;&gt;0,VLOOKUP(B30,Items!$A$616:$X$640,20,FALSE),""),"")</f>
        <v/>
      </c>
      <c r="H30" s="9" t="str">
        <f>IF(B30&lt;&gt;"",IF(VLOOKUP(B30,Items!$A$616:$X$640,21,FALSE)&lt;&gt;0,VLOOKUP(B30,Items!$A$616:$X$640,21,FALSE),""),"")</f>
        <v/>
      </c>
      <c r="I30" s="88" t="str">
        <f>IF(B30&lt;&gt;"",IF(VLOOKUP(B30,Items!$A$616:$X$640,22,FALSE)&lt;&gt;0,VLOOKUP(B30,Items!$A$616:$X$640,22,FALSE),""),"")</f>
        <v/>
      </c>
      <c r="J30" s="9" t="str">
        <f>IF(B30&lt;&gt;"",IF(VLOOKUP(B30,Items!$A$616:$X$640,23,FALSE)&lt;&gt;0,VLOOKUP(B30,Items!$A$616:$X$640,23,FALSE),""),"")</f>
        <v/>
      </c>
      <c r="K30" s="1" t="str">
        <f>IF(B30&lt;&gt;"",IF(VLOOKUP(B30,Items!$A$616:$X$640,24,FALSE)&lt;&gt;0,VLOOKUP(B30,Items!$A$616:$X$640,24,FALSE),""),"")</f>
        <v/>
      </c>
      <c r="L30" s="88"/>
      <c r="M30" s="9"/>
      <c r="N30" s="9"/>
      <c r="O30" s="88"/>
      <c r="P30" s="127"/>
      <c r="Q30" s="1"/>
    </row>
    <row r="31" spans="1:17">
      <c r="A31" s="46" t="s">
        <v>633</v>
      </c>
      <c r="B31" s="100">
        <f>F31*100+C32+D32+E32+1</f>
        <v>4</v>
      </c>
      <c r="C31" s="232"/>
      <c r="D31" s="232"/>
      <c r="E31" s="41"/>
      <c r="F31" s="88">
        <v>0.01</v>
      </c>
      <c r="G31" s="9" t="str">
        <f>VLOOKUP(B2,Misc!$AA$38:$AE$46,2,FALSE)</f>
        <v>Bribe</v>
      </c>
      <c r="H31" s="2" t="s">
        <v>572</v>
      </c>
      <c r="I31" s="88"/>
      <c r="J31" s="9"/>
      <c r="K31" s="1"/>
      <c r="L31" s="46"/>
      <c r="M31" s="232"/>
      <c r="N31" s="9"/>
      <c r="O31" s="145"/>
      <c r="P31" s="9"/>
      <c r="Q31" s="1"/>
    </row>
    <row r="32" spans="1:17">
      <c r="A32" s="46" t="s">
        <v>632</v>
      </c>
      <c r="C32" s="23">
        <v>0</v>
      </c>
      <c r="D32" s="23">
        <v>2</v>
      </c>
      <c r="E32" s="23">
        <v>0</v>
      </c>
      <c r="F32" s="86"/>
      <c r="G32" s="9"/>
      <c r="H32" s="9"/>
      <c r="I32" s="89"/>
      <c r="J32" s="9"/>
      <c r="K32" s="1"/>
      <c r="L32" s="319"/>
      <c r="M32" s="320"/>
      <c r="N32" s="142" t="s">
        <v>561</v>
      </c>
      <c r="O32" s="90" t="s">
        <v>562</v>
      </c>
      <c r="P32" s="91" t="s">
        <v>563</v>
      </c>
      <c r="Q32" s="144"/>
    </row>
    <row r="33" spans="1:17">
      <c r="A33" s="47" t="s">
        <v>634</v>
      </c>
      <c r="B33" s="9"/>
      <c r="C33" s="232">
        <f>C32*2+SUM(C3:C8)</f>
        <v>0</v>
      </c>
      <c r="D33" s="232">
        <f>D32*2+SUM(D3:D8)</f>
        <v>4</v>
      </c>
      <c r="E33" s="232">
        <f>E32*2+SUM(E3:E8)</f>
        <v>0</v>
      </c>
      <c r="F33" s="83" t="s">
        <v>818</v>
      </c>
      <c r="G33" s="120" t="str">
        <f>convertPercentage(F3:Q31,"Fight",IF(L32="",'Stats Scores'!$AP$2,L32))</f>
        <v>0%</v>
      </c>
      <c r="H33" s="53" t="s">
        <v>825</v>
      </c>
      <c r="I33" s="120" t="str">
        <f>convertPercentage(F3:Q31,"Barter",IF(L32="",'Stats Scores'!$AP$2,L32))</f>
        <v>0%</v>
      </c>
      <c r="J33" s="44" t="s">
        <v>827</v>
      </c>
      <c r="K33" s="123" t="str">
        <f>convertPercentage(F3:Q31,"Spy",IF(L32="",'Stats Scores'!$AP$2,L32))</f>
        <v>0%</v>
      </c>
      <c r="L33" s="321" t="s">
        <v>819</v>
      </c>
      <c r="M33" s="322"/>
      <c r="N33" s="95">
        <f>ROUNDUP(getscore(C35,G33,"Fight",L32),0)</f>
        <v>4</v>
      </c>
      <c r="O33" s="95">
        <f>ROUNDUP(getscore(D35,I33,"Barter",L32),0)</f>
        <v>25</v>
      </c>
      <c r="P33" s="82">
        <f>ROUNDUP(getscore(E35,K33,"Spy",L32),0)</f>
        <v>10</v>
      </c>
      <c r="Q33" s="143"/>
    </row>
    <row r="34" spans="1:17">
      <c r="B34" s="2"/>
      <c r="C34" s="232"/>
      <c r="D34" s="232"/>
      <c r="E34" s="232"/>
      <c r="F34" s="83" t="s">
        <v>753</v>
      </c>
      <c r="G34" s="121" t="str">
        <f>convertPercentage(F3:Q31,"Harass",IF(L32="",'Stats Scores'!$AP$2,L32))</f>
        <v>0%</v>
      </c>
      <c r="H34" s="2" t="s">
        <v>829</v>
      </c>
      <c r="I34" s="121" t="str">
        <f>convertPercentage(F3:Q31,"Swindle",IF(L32="",'Stats Scores'!$AP$2,L32))</f>
        <v>0%</v>
      </c>
      <c r="J34" s="9" t="s">
        <v>828</v>
      </c>
      <c r="K34" s="124" t="str">
        <f>convertPercentage(F3:Q31,"Sabotage",IF(L32="",'Stats Scores'!$AP$2,L32))</f>
        <v>0%</v>
      </c>
      <c r="L34" s="321" t="s">
        <v>820</v>
      </c>
      <c r="M34" s="322"/>
      <c r="N34" s="95">
        <f>ROUNDUP(getscore(C35,G34,"Harass",L32),0)</f>
        <v>4</v>
      </c>
      <c r="O34" s="95">
        <f>ROUNDUP(getscore(D35,I34,"Swindle",L32),0)</f>
        <v>25</v>
      </c>
      <c r="P34" s="82">
        <f>ROUNDUP(getscore(E35,K34,"Sabotage",L32),0)</f>
        <v>10</v>
      </c>
      <c r="Q34" s="143"/>
    </row>
    <row r="35" spans="1:17">
      <c r="A35" s="56" t="s">
        <v>635</v>
      </c>
      <c r="B35" s="20"/>
      <c r="C35" s="33">
        <f>C9+C10+C17+C24+C33</f>
        <v>0</v>
      </c>
      <c r="D35" s="33">
        <f t="shared" ref="D35:E35" si="0">D9+D10+D17+D24+D33</f>
        <v>12</v>
      </c>
      <c r="E35" s="33">
        <f t="shared" si="0"/>
        <v>0</v>
      </c>
      <c r="F35" s="84" t="s">
        <v>824</v>
      </c>
      <c r="G35" s="122" t="str">
        <f>convertPercentage(F3:Q31,"Aid",IF(L32="",'Stats Scores'!$AP$2,L32))</f>
        <v>0%</v>
      </c>
      <c r="H35" s="20" t="s">
        <v>826</v>
      </c>
      <c r="I35" s="122" t="str">
        <f>convertPercentage(F3:Q31,"Bribe",IF(L32="",'Stats Scores'!$AP$2,L32))</f>
        <v>1%</v>
      </c>
      <c r="J35" s="20" t="s">
        <v>830</v>
      </c>
      <c r="K35" s="125" t="str">
        <f>convertPercentage(F3:Q31,"Steal",IF(L32="",'Stats Scores'!$AP$2,L32))</f>
        <v>0%</v>
      </c>
      <c r="L35" s="317" t="s">
        <v>821</v>
      </c>
      <c r="M35" s="318"/>
      <c r="N35" s="131">
        <f>ROUNDUP(getscore(C35,G35,"Aid",L32),0)</f>
        <v>4</v>
      </c>
      <c r="O35" s="131">
        <f>ROUNDUP(getscore(D35,I35,"Bribe",L32),0)</f>
        <v>35</v>
      </c>
      <c r="P35" s="132">
        <f>ROUNDUP(getscore(E35,K35,"Steal",L32),0)</f>
        <v>10</v>
      </c>
      <c r="Q35" s="111"/>
    </row>
    <row r="36" spans="1:17">
      <c r="A36" s="197"/>
      <c r="B36" s="9"/>
      <c r="C36" s="232"/>
      <c r="D36" s="232"/>
      <c r="E36" s="232"/>
      <c r="F36" s="31"/>
      <c r="G36" s="121"/>
      <c r="H36" s="9"/>
      <c r="I36" s="121"/>
      <c r="J36" s="9"/>
      <c r="K36" s="121"/>
      <c r="L36" s="231"/>
      <c r="M36" s="231"/>
      <c r="N36" s="95"/>
      <c r="O36" s="95"/>
      <c r="P36" s="95"/>
      <c r="Q36" s="9"/>
    </row>
    <row r="37" spans="1:17" ht="23.25" customHeight="1">
      <c r="A37" s="171" t="s">
        <v>1210</v>
      </c>
      <c r="B37" s="113" t="s">
        <v>79</v>
      </c>
      <c r="C37" s="43"/>
      <c r="D37" s="43"/>
      <c r="E37" s="43"/>
      <c r="F37" s="85"/>
      <c r="G37" s="44"/>
      <c r="H37" s="44"/>
      <c r="I37" s="87"/>
      <c r="J37" s="44"/>
      <c r="K37" s="45"/>
      <c r="L37" s="87"/>
      <c r="M37" s="44"/>
      <c r="N37" s="44"/>
      <c r="O37" s="87"/>
      <c r="P37" s="44"/>
      <c r="Q37" s="45"/>
    </row>
    <row r="38" spans="1:17" hidden="1">
      <c r="A38" s="172" t="s">
        <v>1146</v>
      </c>
      <c r="B38" s="52"/>
      <c r="C38" s="232" t="str">
        <f>IF(B38&lt;&gt;"",VLOOKUP(B38,Items!$A$616:$X$640,15,FALSE),"")</f>
        <v/>
      </c>
      <c r="D38" s="232" t="str">
        <f>IF(B38&lt;&gt;"",VLOOKUP(B38,Items!$A$616:$X$640,16,FALSE),"")</f>
        <v/>
      </c>
      <c r="E38" s="13" t="str">
        <f>IF(B38&lt;&gt;"",VLOOKUP(B38,Items!$A$616:$X$640,17,FALSE),"")</f>
        <v/>
      </c>
      <c r="F38" s="127" t="str">
        <f>IF(B38&lt;&gt;"",IF(VLOOKUP(B38,Items!$A$616:$X$640,19,FALSE)&lt;&gt;0,VLOOKUP(B38,Items!$A$616:$X$640,19,FALSE),""),"")</f>
        <v/>
      </c>
      <c r="G38" s="161" t="str">
        <f>IF(B38&lt;&gt;"",IF(VLOOKUP(B38,Items!$A$616:$X$640,20,FALSE)&lt;&gt;0,VLOOKUP(B38,Items!$A$616:$X$640,20,FALSE),""),"")</f>
        <v/>
      </c>
      <c r="H38" s="9" t="str">
        <f>IF(B38&lt;&gt;"",IF(VLOOKUP(B38,Items!$A$616:$X$640,21,FALSE)&lt;&gt;0,VLOOKUP(B38,Items!$A$616:$X$640,21,FALSE),""),"")</f>
        <v/>
      </c>
      <c r="I38" s="88" t="str">
        <f>IF(B38&lt;&gt;"",IF(VLOOKUP(B38,Items!$A$616:$X$640,22,FALSE)&lt;&gt;0,VLOOKUP(B38,Items!$A$616:$X$640,22,FALSE),""),"")</f>
        <v/>
      </c>
      <c r="J38" s="9" t="str">
        <f>IF(B38&lt;&gt;"",IF(VLOOKUP(B38,Items!$A$616:$X$640,23,FALSE)&lt;&gt;0,VLOOKUP(B38,Items!$A$616:$X$640,23,FALSE),""),"")</f>
        <v/>
      </c>
      <c r="K38" s="1" t="str">
        <f>IF(B38&lt;&gt;"",IF(VLOOKUP(B38,Items!$A$616:$X$640,24,FALSE)&lt;&gt;0,VLOOKUP(B38,Items!$A$616:$X$640,24,FALSE),""),"")</f>
        <v/>
      </c>
      <c r="L38" s="46"/>
      <c r="M38" s="9"/>
      <c r="N38" s="9"/>
      <c r="O38" s="46"/>
      <c r="P38" s="9"/>
      <c r="Q38" s="1"/>
    </row>
    <row r="39" spans="1:17" hidden="1">
      <c r="A39" s="172" t="s">
        <v>1147</v>
      </c>
      <c r="B39" s="52"/>
      <c r="C39" s="232" t="str">
        <f>IF(B39&lt;&gt;"",VLOOKUP(B39,Items!$A$616:$X$640,15,FALSE),"")</f>
        <v/>
      </c>
      <c r="D39" s="232" t="str">
        <f>IF(B39&lt;&gt;"",VLOOKUP(B39,Items!$A$616:$X$640,16,FALSE),"")</f>
        <v/>
      </c>
      <c r="E39" s="13" t="str">
        <f>IF(B39&lt;&gt;"",VLOOKUP(B39,Items!$A$616:$X$640,17,FALSE),"")</f>
        <v/>
      </c>
      <c r="F39" s="127" t="str">
        <f>IF(B39&lt;&gt;"",IF(VLOOKUP(B39,Items!$A$616:$X$640,19,FALSE)&lt;&gt;0,VLOOKUP(B39,Items!$A$616:$X$640,19,FALSE),""),"")</f>
        <v/>
      </c>
      <c r="G39" s="161" t="str">
        <f>IF(B39&lt;&gt;"",IF(VLOOKUP(B39,Items!$A$616:$X$640,20,FALSE)&lt;&gt;0,VLOOKUP(B39,Items!$A$616:$X$640,20,FALSE),""),"")</f>
        <v/>
      </c>
      <c r="H39" s="9" t="str">
        <f>IF(B39&lt;&gt;"",IF(VLOOKUP(B39,Items!$A$616:$X$640,21,FALSE)&lt;&gt;0,VLOOKUP(B39,Items!$A$616:$X$640,21,FALSE),""),"")</f>
        <v/>
      </c>
      <c r="I39" s="88" t="str">
        <f>IF(B39&lt;&gt;"",IF(VLOOKUP(B39,Items!$A$616:$X$640,22,FALSE)&lt;&gt;0,VLOOKUP(B39,Items!$A$616:$X$640,22,FALSE),""),"")</f>
        <v/>
      </c>
      <c r="J39" s="9" t="str">
        <f>IF(B39&lt;&gt;"",IF(VLOOKUP(B39,Items!$A$616:$X$640,23,FALSE)&lt;&gt;0,VLOOKUP(B39,Items!$A$616:$X$640,23,FALSE),""),"")</f>
        <v/>
      </c>
      <c r="K39" s="1" t="str">
        <f>IF(B39&lt;&gt;"",IF(VLOOKUP(B39,Items!$A$616:$X$640,24,FALSE)&lt;&gt;0,VLOOKUP(B39,Items!$A$616:$X$640,24,FALSE),""),"")</f>
        <v/>
      </c>
      <c r="L39" s="46"/>
      <c r="M39" s="9"/>
      <c r="N39" s="9"/>
      <c r="O39" s="46"/>
      <c r="P39" s="9"/>
      <c r="Q39" s="1"/>
    </row>
    <row r="40" spans="1:17" hidden="1">
      <c r="A40" s="172" t="s">
        <v>1148</v>
      </c>
      <c r="B40" s="52"/>
      <c r="C40" s="232" t="str">
        <f>IF(B40&lt;&gt;"",VLOOKUP(B40,Items!$A$616:$X$640,15,FALSE),"")</f>
        <v/>
      </c>
      <c r="D40" s="232" t="str">
        <f>IF(B40&lt;&gt;"",VLOOKUP(B40,Items!$A$616:$X$640,16,FALSE),"")</f>
        <v/>
      </c>
      <c r="E40" s="13" t="str">
        <f>IF(B40&lt;&gt;"",VLOOKUP(B40,Items!$A$616:$X$640,17,FALSE),"")</f>
        <v/>
      </c>
      <c r="F40" s="127" t="str">
        <f>IF(B40&lt;&gt;"",IF(VLOOKUP(B40,Items!$A$616:$X$640,19,FALSE)&lt;&gt;0,VLOOKUP(B40,Items!$A$616:$X$640,19,FALSE),""),"")</f>
        <v/>
      </c>
      <c r="G40" s="161" t="str">
        <f>IF(B40&lt;&gt;"",IF(VLOOKUP(B40,Items!$A$616:$X$640,20,FALSE)&lt;&gt;0,VLOOKUP(B40,Items!$A$616:$X$640,20,FALSE),""),"")</f>
        <v/>
      </c>
      <c r="H40" s="9" t="str">
        <f>IF(B40&lt;&gt;"",IF(VLOOKUP(B40,Items!$A$616:$X$640,21,FALSE)&lt;&gt;0,VLOOKUP(B40,Items!$A$616:$X$640,21,FALSE),""),"")</f>
        <v/>
      </c>
      <c r="I40" s="88" t="str">
        <f>IF(B40&lt;&gt;"",IF(VLOOKUP(B40,Items!$A$616:$X$640,22,FALSE)&lt;&gt;0,VLOOKUP(B40,Items!$A$616:$X$640,22,FALSE),""),"")</f>
        <v/>
      </c>
      <c r="J40" s="9" t="str">
        <f>IF(B40&lt;&gt;"",IF(VLOOKUP(B40,Items!$A$616:$X$640,23,FALSE)&lt;&gt;0,VLOOKUP(B40,Items!$A$616:$X$640,23,FALSE),""),"")</f>
        <v/>
      </c>
      <c r="K40" s="1" t="str">
        <f>IF(B40&lt;&gt;"",IF(VLOOKUP(B40,Items!$A$616:$X$640,24,FALSE)&lt;&gt;0,VLOOKUP(B40,Items!$A$616:$X$640,24,FALSE),""),"")</f>
        <v/>
      </c>
      <c r="L40" s="46"/>
      <c r="M40" s="9"/>
      <c r="N40" s="9"/>
      <c r="O40" s="46"/>
      <c r="P40" s="9"/>
      <c r="Q40" s="1"/>
    </row>
    <row r="41" spans="1:17" hidden="1">
      <c r="A41" s="172" t="s">
        <v>1149</v>
      </c>
      <c r="B41" s="52"/>
      <c r="C41" s="232" t="str">
        <f>IF(B41&lt;&gt;"",VLOOKUP(B41,Items!$A$616:$X$640,15,FALSE),"")</f>
        <v/>
      </c>
      <c r="D41" s="232" t="str">
        <f>IF(B41&lt;&gt;"",VLOOKUP(B41,Items!$A$616:$X$640,16,FALSE),"")</f>
        <v/>
      </c>
      <c r="E41" s="13" t="str">
        <f>IF(B41&lt;&gt;"",VLOOKUP(B41,Items!$A$616:$X$640,17,FALSE),"")</f>
        <v/>
      </c>
      <c r="F41" s="127" t="str">
        <f>IF(B41&lt;&gt;"",IF(VLOOKUP(B41,Items!$A$616:$X$640,19,FALSE)&lt;&gt;0,VLOOKUP(B41,Items!$A$616:$X$640,19,FALSE),""),"")</f>
        <v/>
      </c>
      <c r="G41" s="161" t="str">
        <f>IF(B41&lt;&gt;"",IF(VLOOKUP(B41,Items!$A$616:$X$640,20,FALSE)&lt;&gt;0,VLOOKUP(B41,Items!$A$616:$X$640,20,FALSE),""),"")</f>
        <v/>
      </c>
      <c r="H41" s="9" t="str">
        <f>IF(B41&lt;&gt;"",IF(VLOOKUP(B41,Items!$A$616:$X$640,21,FALSE)&lt;&gt;0,VLOOKUP(B41,Items!$A$616:$X$640,21,FALSE),""),"")</f>
        <v/>
      </c>
      <c r="I41" s="88" t="str">
        <f>IF(B41&lt;&gt;"",IF(VLOOKUP(B41,Items!$A$616:$X$640,22,FALSE)&lt;&gt;0,VLOOKUP(B41,Items!$A$616:$X$640,22,FALSE),""),"")</f>
        <v/>
      </c>
      <c r="J41" s="9" t="str">
        <f>IF(B41&lt;&gt;"",IF(VLOOKUP(B41,Items!$A$616:$X$640,23,FALSE)&lt;&gt;0,VLOOKUP(B41,Items!$A$616:$X$640,23,FALSE),""),"")</f>
        <v/>
      </c>
      <c r="K41" s="1" t="str">
        <f>IF(B41&lt;&gt;"",IF(VLOOKUP(B41,Items!$A$616:$X$640,24,FALSE)&lt;&gt;0,VLOOKUP(B41,Items!$A$616:$X$640,24,FALSE),""),"")</f>
        <v/>
      </c>
      <c r="L41" s="46"/>
      <c r="M41" s="9"/>
      <c r="N41" s="9"/>
      <c r="O41" s="46"/>
      <c r="P41" s="9"/>
      <c r="Q41" s="1"/>
    </row>
    <row r="42" spans="1:17" hidden="1">
      <c r="A42" s="172" t="s">
        <v>1150</v>
      </c>
      <c r="B42" s="52"/>
      <c r="C42" s="232" t="str">
        <f>IF(B42&lt;&gt;"",VLOOKUP(B42,Items!$A$616:$X$640,15,FALSE),"")</f>
        <v/>
      </c>
      <c r="D42" s="232" t="str">
        <f>IF(B42&lt;&gt;"",VLOOKUP(B42,Items!$A$616:$X$640,16,FALSE),"")</f>
        <v/>
      </c>
      <c r="E42" s="13" t="str">
        <f>IF(B42&lt;&gt;"",VLOOKUP(B42,Items!$A$616:$X$640,17,FALSE),"")</f>
        <v/>
      </c>
      <c r="F42" s="127" t="str">
        <f>IF(B42&lt;&gt;"",IF(VLOOKUP(B42,Items!$A$616:$X$640,19,FALSE)&lt;&gt;0,VLOOKUP(B42,Items!$A$616:$X$640,19,FALSE),""),"")</f>
        <v/>
      </c>
      <c r="G42" s="161" t="str">
        <f>IF(B42&lt;&gt;"",IF(VLOOKUP(B42,Items!$A$616:$X$640,20,FALSE)&lt;&gt;0,VLOOKUP(B42,Items!$A$616:$X$640,20,FALSE),""),"")</f>
        <v/>
      </c>
      <c r="H42" s="9" t="str">
        <f>IF(B42&lt;&gt;"",IF(VLOOKUP(B42,Items!$A$616:$X$640,21,FALSE)&lt;&gt;0,VLOOKUP(B42,Items!$A$616:$X$640,21,FALSE),""),"")</f>
        <v/>
      </c>
      <c r="I42" s="88" t="str">
        <f>IF(B42&lt;&gt;"",IF(VLOOKUP(B42,Items!$A$616:$X$640,22,FALSE)&lt;&gt;0,VLOOKUP(B42,Items!$A$616:$X$640,22,FALSE),""),"")</f>
        <v/>
      </c>
      <c r="J42" s="9" t="str">
        <f>IF(B42&lt;&gt;"",IF(VLOOKUP(B42,Items!$A$616:$X$640,23,FALSE)&lt;&gt;0,VLOOKUP(B42,Items!$A$616:$X$640,23,FALSE),""),"")</f>
        <v/>
      </c>
      <c r="K42" s="1" t="str">
        <f>IF(B42&lt;&gt;"",IF(VLOOKUP(B42,Items!$A$616:$X$640,24,FALSE)&lt;&gt;0,VLOOKUP(B42,Items!$A$616:$X$640,24,FALSE),""),"")</f>
        <v/>
      </c>
      <c r="L42" s="46"/>
      <c r="M42" s="9"/>
      <c r="N42" s="9"/>
      <c r="O42" s="46"/>
      <c r="P42" s="9"/>
      <c r="Q42" s="1"/>
    </row>
    <row r="43" spans="1:17" hidden="1">
      <c r="A43" s="172" t="s">
        <v>1151</v>
      </c>
      <c r="B43" s="52"/>
      <c r="C43" s="232" t="str">
        <f>IF(B43&lt;&gt;"",VLOOKUP(B43,Items!$A$616:$X$640,15,FALSE),"")</f>
        <v/>
      </c>
      <c r="D43" s="232" t="str">
        <f>IF(B43&lt;&gt;"",VLOOKUP(B43,Items!$A$616:$X$640,16,FALSE),"")</f>
        <v/>
      </c>
      <c r="E43" s="13" t="str">
        <f>IF(B43&lt;&gt;"",VLOOKUP(B43,Items!$A$616:$X$640,17,FALSE),"")</f>
        <v/>
      </c>
      <c r="F43" s="127" t="str">
        <f>IF(B43&lt;&gt;"",IF(VLOOKUP(B43,Items!$A$616:$X$640,19,FALSE)&lt;&gt;0,VLOOKUP(B43,Items!$A$616:$X$640,19,FALSE),""),"")</f>
        <v/>
      </c>
      <c r="G43" s="161" t="str">
        <f>IF(B43&lt;&gt;"",IF(VLOOKUP(B43,Items!$A$616:$X$640,20,FALSE)&lt;&gt;0,VLOOKUP(B43,Items!$A$616:$X$640,20,FALSE),""),"")</f>
        <v/>
      </c>
      <c r="H43" s="9" t="str">
        <f>IF(B43&lt;&gt;"",IF(VLOOKUP(B43,Items!$A$616:$X$640,21,FALSE)&lt;&gt;0,VLOOKUP(B43,Items!$A$616:$X$640,21,FALSE),""),"")</f>
        <v/>
      </c>
      <c r="I43" s="88" t="str">
        <f>IF(B43&lt;&gt;"",IF(VLOOKUP(B43,Items!$A$616:$X$640,22,FALSE)&lt;&gt;0,VLOOKUP(B43,Items!$A$616:$X$640,22,FALSE),""),"")</f>
        <v/>
      </c>
      <c r="J43" s="9" t="str">
        <f>IF(B43&lt;&gt;"",IF(VLOOKUP(B43,Items!$A$616:$X$640,23,FALSE)&lt;&gt;0,VLOOKUP(B43,Items!$A$616:$X$640,23,FALSE),""),"")</f>
        <v/>
      </c>
      <c r="K43" s="1" t="str">
        <f>IF(B43&lt;&gt;"",IF(VLOOKUP(B43,Items!$A$616:$X$640,24,FALSE)&lt;&gt;0,VLOOKUP(B43,Items!$A$616:$X$640,24,FALSE),""),"")</f>
        <v/>
      </c>
      <c r="L43" s="46"/>
      <c r="M43" s="9"/>
      <c r="N43" s="9"/>
      <c r="O43" s="46"/>
      <c r="P43" s="9"/>
      <c r="Q43" s="1"/>
    </row>
    <row r="44" spans="1:17">
      <c r="A44" s="46" t="s">
        <v>631</v>
      </c>
      <c r="B44" s="52"/>
      <c r="C44" s="232">
        <v>0</v>
      </c>
      <c r="D44" s="232">
        <v>1</v>
      </c>
      <c r="E44" s="232">
        <v>0</v>
      </c>
      <c r="F44" s="88"/>
      <c r="G44" s="9"/>
      <c r="H44" s="9"/>
      <c r="I44" s="46"/>
      <c r="J44" s="9"/>
      <c r="K44" s="1"/>
      <c r="L44" s="46"/>
      <c r="M44" s="232"/>
      <c r="N44" s="9"/>
      <c r="O44" s="88"/>
      <c r="P44" s="232"/>
      <c r="Q44" s="1"/>
    </row>
    <row r="45" spans="1:17">
      <c r="A45" s="46" t="s">
        <v>565</v>
      </c>
      <c r="B45" s="52" t="s">
        <v>1145</v>
      </c>
      <c r="C45" s="232">
        <f>IF(convertString(B45, "prefix")&lt;&gt;"",VLOOKUP(convertString(B45, "prefix"),Items!$A$544:$Z$612,15,FALSE),0) + IF(convertString(B45, "item")&lt;&gt;"",VLOOKUP(convertString(B45, "item"),Items!$A$14:$X$432,15,FALSE),0) + IF(convertString(B45, "suffix")&lt;&gt;"",VLOOKUP(convertString(B45, "suffix"),Items!$A$544:$Z$612,15,FALSE),0) + SUM(C46:C51)</f>
        <v>0</v>
      </c>
      <c r="D45" s="232">
        <f>IF(convertString(B45, "prefix")&lt;&gt;"",VLOOKUP(convertString(B45, "prefix"),Items!$A$544:$Z$612,16,FALSE),0) + IF(convertString(B45, "item")&lt;&gt;"",VLOOKUP(convertString(B45, "item"),Items!$A$14:$X$432,16,FALSE),0) + IF(convertString(B45, "suffix")&lt;&gt;"",VLOOKUP(convertString(B45, "suffix"),Items!$A$544:$Z$612,16,FALSE),0)+SUM(D46:D51)</f>
        <v>0</v>
      </c>
      <c r="E45" s="232">
        <f>IF(convertString(B45, "prefix")&lt;&gt;"",VLOOKUP(convertString(B45, "prefix"),Items!$A$544:$Z$612,17,FALSE),0) + IF(convertString(B45, "item")&lt;&gt;"",VLOOKUP(convertString(B45, "item"),Items!$A$14:$X$432,17,FALSE),0) + IF(convertString(B45, "suffix")&lt;&gt;"",VLOOKUP(convertString(B45, "suffix"),Items!$A$544:$Z$612,17,FALSE),0)+SUM(E46:E51)</f>
        <v>0</v>
      </c>
      <c r="F45" s="88" t="str">
        <f>IF(VLOOKUP(convertString(B45, "item"),Items!$A$14:$X$432,19,FALSE)&lt;&gt;"",VLOOKUP(convertString(B45, "item"),Items!$A$14:$X$432,19,FALSE),"")</f>
        <v/>
      </c>
      <c r="G45" s="118" t="str">
        <f>IF(VLOOKUP(convertString(B45, "item"),Items!$A$14:$X$432,20,FALSE)&lt;&gt;0,VLOOKUP(convertString(B45, "item"),Items!$A$14:$X$432,20,FALSE),"")</f>
        <v/>
      </c>
      <c r="H45" s="9" t="str">
        <f>IF(VLOOKUP(convertString(B45, "item"),Items!$A$14:$X$432,21,FALSE)&lt;&gt;"",VLOOKUP(convertString(B45, "item"),Items!$A$14:$X$432,21,FALSE),"")</f>
        <v/>
      </c>
      <c r="I45" s="88" t="str">
        <f>IF(VLOOKUP(convertString(B45, "item"),Items!$A$14:$X$432,22,FALSE)&lt;&gt;"",VLOOKUP(convertString(B45, "item"),Items!$A$14:$X$432,22,FALSE),"")</f>
        <v/>
      </c>
      <c r="J45" s="161" t="str">
        <f>IF(VLOOKUP(convertString(B45, "item"),Items!$A$14:$X$432,23,FALSE)&lt;&gt;"",VLOOKUP(convertString(B45, "item"),Items!$A$14:$X$432,23,FALSE),"")</f>
        <v/>
      </c>
      <c r="K45" s="9" t="str">
        <f>IF(VLOOKUP(convertString(B45, "item"),Items!$A$14:$X$432,24,FALSE)&lt;&gt;"",VLOOKUP(convertString(B45, "item"),Items!$A$14:$X$432,24,FALSE),"")</f>
        <v/>
      </c>
      <c r="L45" s="88" t="str">
        <f>IF(IF(convertString(B45, "suffix")&lt;&gt;"",VLOOKUP(convertString(B45, "suffix"),Items!$A$544:$Z$612,19,FALSE),"")&lt;&gt;"",IF(convertString(B45, "suffix")&lt;&gt;"",VLOOKUP(convertString(B45, "suffix"),Items!$A$544:$Z$612,19,FALSE),""),"")</f>
        <v/>
      </c>
      <c r="M45" s="9" t="str">
        <f>IF(IF(convertString(B45, "suffix")&lt;&gt;"",VLOOKUP(convertString(B45, "suffix"),Items!$A$544:$Z$612,20,FALSE),"")&lt;&gt;"",IF(convertString(B45, "suffix")&lt;&gt;"",VLOOKUP(convertString(B45, "suffix"),Items!$A$544:$Z$612,20,FALSE),""),"")</f>
        <v/>
      </c>
      <c r="N45" s="9" t="str">
        <f>IF(IF(convertString(B45, "suffix")&lt;&gt;"",VLOOKUP(convertString(B45, "suffix"),Items!$A$544:$Z$612,21,FALSE),"")&lt;&gt;"",IF(convertString(B45, "suffix")&lt;&gt;"",VLOOKUP(convertString(B45, "suffix"),Items!$A$544:$Z$612,21,FALSE),""),"")</f>
        <v/>
      </c>
      <c r="O45" s="88" t="str">
        <f>IF(IF(convertString(B45, "prefix")&lt;&gt;"",VLOOKUP(convertString(B45, "prefix"),Items!$A$544:$Z$612,19,FALSE),"")&lt;&gt;"",IF(convertString(B45, "prefix")&lt;&gt;"",VLOOKUP(convertString(B45, "prefix"),Items!$A$544:$Z$612,19,FALSE),""),"")</f>
        <v/>
      </c>
      <c r="P45" s="127" t="str">
        <f>IF(IF(convertString(B45, "prefix")&lt;&gt;"",VLOOKUP(convertString(B45, "prefix"),Items!$A$544:$Z$612,20,FALSE),"")&lt;&gt;"",IF(convertString(B45, "prefix")&lt;&gt;"",VLOOKUP(convertString(B45, "prefix"),Items!$A$544:$Z$612,20,FALSE),""),"")</f>
        <v/>
      </c>
      <c r="Q45" s="1" t="str">
        <f>IF(IF(convertString(B45, "prefix")&lt;&gt;"",VLOOKUP(convertString(B45, "prefix"),Items!$A$544:$Z$612,21,FALSE),"")&lt;&gt;"",IF(convertString(B45, "prefix")&lt;&gt;"",VLOOKUP(convertString(B45, "prefix"),Items!$A$544:$Z$612,21,FALSE),""),"")</f>
        <v/>
      </c>
    </row>
    <row r="46" spans="1:17" hidden="1">
      <c r="A46" s="172" t="s">
        <v>1146</v>
      </c>
      <c r="B46" s="52"/>
      <c r="C46" s="232" t="str">
        <f>IF(B46&lt;&gt;"",VLOOKUP(B46,Items!$A$616:$X$640,15,FALSE),"")</f>
        <v/>
      </c>
      <c r="D46" s="232" t="str">
        <f>IF(B46&lt;&gt;"",VLOOKUP(B46,Items!$A$616:$X$640,16,FALSE),"")</f>
        <v/>
      </c>
      <c r="E46" s="13" t="str">
        <f>IF(B46&lt;&gt;"",VLOOKUP(B46,Items!$A$616:$X$640,17,FALSE),"")</f>
        <v/>
      </c>
      <c r="F46" s="127" t="str">
        <f>IF(B46&lt;&gt;"",IF(VLOOKUP(B46,Items!$A$616:$X$640,19,FALSE)&lt;&gt;0,VLOOKUP(B46,Items!$A$616:$X$640,19,FALSE),""),"")</f>
        <v/>
      </c>
      <c r="G46" s="161" t="str">
        <f>IF(B46&lt;&gt;"",IF(VLOOKUP(B46,Items!$A$616:$X$640,20,FALSE)&lt;&gt;0,VLOOKUP(B46,Items!$A$616:$X$640,20,FALSE),""),"")</f>
        <v/>
      </c>
      <c r="H46" s="9" t="str">
        <f>IF(B46&lt;&gt;"",IF(VLOOKUP(B46,Items!$A$616:$X$640,21,FALSE)&lt;&gt;0,VLOOKUP(B46,Items!$A$616:$X$640,21,FALSE),""),"")</f>
        <v/>
      </c>
      <c r="I46" s="88" t="str">
        <f>IF(B46&lt;&gt;"",IF(VLOOKUP(B46,Items!$A$616:$X$640,22,FALSE)&lt;&gt;0,VLOOKUP(B46,Items!$A$616:$X$640,22,FALSE),""),"")</f>
        <v/>
      </c>
      <c r="J46" s="9" t="str">
        <f>IF(B46&lt;&gt;"",IF(VLOOKUP(B46,Items!$A$616:$X$640,23,FALSE)&lt;&gt;0,VLOOKUP(B46,Items!$A$616:$X$640,23,FALSE),""),"")</f>
        <v/>
      </c>
      <c r="K46" s="1" t="str">
        <f>IF(B46&lt;&gt;"",IF(VLOOKUP(B46,Items!$A$616:$X$640,24,FALSE)&lt;&gt;0,VLOOKUP(B46,Items!$A$616:$X$640,24,FALSE),""),"")</f>
        <v/>
      </c>
      <c r="L46" s="88"/>
      <c r="M46" s="9"/>
      <c r="N46" s="9"/>
      <c r="O46" s="88"/>
      <c r="P46" s="127"/>
      <c r="Q46" s="1"/>
    </row>
    <row r="47" spans="1:17" hidden="1">
      <c r="A47" s="172" t="s">
        <v>1147</v>
      </c>
      <c r="B47" s="52"/>
      <c r="C47" s="232" t="str">
        <f>IF(B47&lt;&gt;"",VLOOKUP(B47,Items!$A$616:$X$640,15,FALSE),"")</f>
        <v/>
      </c>
      <c r="D47" s="232" t="str">
        <f>IF(B47&lt;&gt;"",VLOOKUP(B47,Items!$A$616:$X$640,16,FALSE),"")</f>
        <v/>
      </c>
      <c r="E47" s="13" t="str">
        <f>IF(B47&lt;&gt;"",VLOOKUP(B47,Items!$A$616:$X$640,17,FALSE),"")</f>
        <v/>
      </c>
      <c r="F47" s="127" t="str">
        <f>IF(B47&lt;&gt;"",IF(VLOOKUP(B47,Items!$A$616:$X$640,19,FALSE)&lt;&gt;0,VLOOKUP(B47,Items!$A$616:$X$640,19,FALSE),""),"")</f>
        <v/>
      </c>
      <c r="G47" s="161" t="str">
        <f>IF(B47&lt;&gt;"",IF(VLOOKUP(B47,Items!$A$616:$X$640,20,FALSE)&lt;&gt;0,VLOOKUP(B47,Items!$A$616:$X$640,20,FALSE),""),"")</f>
        <v/>
      </c>
      <c r="H47" s="9" t="str">
        <f>IF(B47&lt;&gt;"",IF(VLOOKUP(B47,Items!$A$616:$X$640,21,FALSE)&lt;&gt;0,VLOOKUP(B47,Items!$A$616:$X$640,21,FALSE),""),"")</f>
        <v/>
      </c>
      <c r="I47" s="88" t="str">
        <f>IF(B47&lt;&gt;"",IF(VLOOKUP(B47,Items!$A$616:$X$640,22,FALSE)&lt;&gt;0,VLOOKUP(B47,Items!$A$616:$X$640,22,FALSE),""),"")</f>
        <v/>
      </c>
      <c r="J47" s="9" t="str">
        <f>IF(B47&lt;&gt;"",IF(VLOOKUP(B47,Items!$A$616:$X$640,23,FALSE)&lt;&gt;0,VLOOKUP(B47,Items!$A$616:$X$640,23,FALSE),""),"")</f>
        <v/>
      </c>
      <c r="K47" s="1" t="str">
        <f>IF(B47&lt;&gt;"",IF(VLOOKUP(B47,Items!$A$616:$X$640,24,FALSE)&lt;&gt;0,VLOOKUP(B47,Items!$A$616:$X$640,24,FALSE),""),"")</f>
        <v/>
      </c>
      <c r="L47" s="88"/>
      <c r="M47" s="9"/>
      <c r="N47" s="9"/>
      <c r="O47" s="88"/>
      <c r="P47" s="127"/>
      <c r="Q47" s="1"/>
    </row>
    <row r="48" spans="1:17" hidden="1">
      <c r="A48" s="172" t="s">
        <v>1148</v>
      </c>
      <c r="B48" s="52"/>
      <c r="C48" s="232" t="str">
        <f>IF(B48&lt;&gt;"",VLOOKUP(B48,Items!$A$616:$X$640,15,FALSE),"")</f>
        <v/>
      </c>
      <c r="D48" s="232" t="str">
        <f>IF(B48&lt;&gt;"",VLOOKUP(B48,Items!$A$616:$X$640,16,FALSE),"")</f>
        <v/>
      </c>
      <c r="E48" s="13" t="str">
        <f>IF(B48&lt;&gt;"",VLOOKUP(B48,Items!$A$616:$X$640,17,FALSE),"")</f>
        <v/>
      </c>
      <c r="F48" s="127" t="str">
        <f>IF(B48&lt;&gt;"",IF(VLOOKUP(B48,Items!$A$616:$X$640,19,FALSE)&lt;&gt;0,VLOOKUP(B48,Items!$A$616:$X$640,19,FALSE),""),"")</f>
        <v/>
      </c>
      <c r="G48" s="161" t="str">
        <f>IF(B48&lt;&gt;"",IF(VLOOKUP(B48,Items!$A$616:$X$640,20,FALSE)&lt;&gt;0,VLOOKUP(B48,Items!$A$616:$X$640,20,FALSE),""),"")</f>
        <v/>
      </c>
      <c r="H48" s="9" t="str">
        <f>IF(B48&lt;&gt;"",IF(VLOOKUP(B48,Items!$A$616:$X$640,21,FALSE)&lt;&gt;0,VLOOKUP(B48,Items!$A$616:$X$640,21,FALSE),""),"")</f>
        <v/>
      </c>
      <c r="I48" s="88" t="str">
        <f>IF(B48&lt;&gt;"",IF(VLOOKUP(B48,Items!$A$616:$X$640,22,FALSE)&lt;&gt;0,VLOOKUP(B48,Items!$A$616:$X$640,22,FALSE),""),"")</f>
        <v/>
      </c>
      <c r="J48" s="9" t="str">
        <f>IF(B48&lt;&gt;"",IF(VLOOKUP(B48,Items!$A$616:$X$640,23,FALSE)&lt;&gt;0,VLOOKUP(B48,Items!$A$616:$X$640,23,FALSE),""),"")</f>
        <v/>
      </c>
      <c r="K48" s="1" t="str">
        <f>IF(B48&lt;&gt;"",IF(VLOOKUP(B48,Items!$A$616:$X$640,24,FALSE)&lt;&gt;0,VLOOKUP(B48,Items!$A$616:$X$640,24,FALSE),""),"")</f>
        <v/>
      </c>
      <c r="L48" s="88"/>
      <c r="M48" s="9"/>
      <c r="N48" s="9"/>
      <c r="O48" s="88"/>
      <c r="P48" s="127"/>
      <c r="Q48" s="1"/>
    </row>
    <row r="49" spans="1:17" hidden="1">
      <c r="A49" s="172" t="s">
        <v>1149</v>
      </c>
      <c r="B49" s="52"/>
      <c r="C49" s="232" t="str">
        <f>IF(B49&lt;&gt;"",VLOOKUP(B49,Items!$A$616:$X$640,15,FALSE),"")</f>
        <v/>
      </c>
      <c r="D49" s="232" t="str">
        <f>IF(B49&lt;&gt;"",VLOOKUP(B49,Items!$A$616:$X$640,16,FALSE),"")</f>
        <v/>
      </c>
      <c r="E49" s="13" t="str">
        <f>IF(B49&lt;&gt;"",VLOOKUP(B49,Items!$A$616:$X$640,17,FALSE),"")</f>
        <v/>
      </c>
      <c r="F49" s="127" t="str">
        <f>IF(B49&lt;&gt;"",IF(VLOOKUP(B49,Items!$A$616:$X$640,19,FALSE)&lt;&gt;0,VLOOKUP(B49,Items!$A$616:$X$640,19,FALSE),""),"")</f>
        <v/>
      </c>
      <c r="G49" s="161" t="str">
        <f>IF(B49&lt;&gt;"",IF(VLOOKUP(B49,Items!$A$616:$X$640,20,FALSE)&lt;&gt;0,VLOOKUP(B49,Items!$A$616:$X$640,20,FALSE),""),"")</f>
        <v/>
      </c>
      <c r="H49" s="9" t="str">
        <f>IF(B49&lt;&gt;"",IF(VLOOKUP(B49,Items!$A$616:$X$640,21,FALSE)&lt;&gt;0,VLOOKUP(B49,Items!$A$616:$X$640,21,FALSE),""),"")</f>
        <v/>
      </c>
      <c r="I49" s="88" t="str">
        <f>IF(B49&lt;&gt;"",IF(VLOOKUP(B49,Items!$A$616:$X$640,22,FALSE)&lt;&gt;0,VLOOKUP(B49,Items!$A$616:$X$640,22,FALSE),""),"")</f>
        <v/>
      </c>
      <c r="J49" s="9" t="str">
        <f>IF(B49&lt;&gt;"",IF(VLOOKUP(B49,Items!$A$616:$X$640,23,FALSE)&lt;&gt;0,VLOOKUP(B49,Items!$A$616:$X$640,23,FALSE),""),"")</f>
        <v/>
      </c>
      <c r="K49" s="1" t="str">
        <f>IF(B49&lt;&gt;"",IF(VLOOKUP(B49,Items!$A$616:$X$640,24,FALSE)&lt;&gt;0,VLOOKUP(B49,Items!$A$616:$X$640,24,FALSE),""),"")</f>
        <v/>
      </c>
      <c r="L49" s="88"/>
      <c r="M49" s="9"/>
      <c r="N49" s="9"/>
      <c r="O49" s="88"/>
      <c r="P49" s="127"/>
      <c r="Q49" s="1"/>
    </row>
    <row r="50" spans="1:17" hidden="1">
      <c r="A50" s="172" t="s">
        <v>1150</v>
      </c>
      <c r="B50" s="52"/>
      <c r="C50" s="232" t="str">
        <f>IF(B50&lt;&gt;"",VLOOKUP(B50,Items!$A$616:$X$640,15,FALSE),"")</f>
        <v/>
      </c>
      <c r="D50" s="232" t="str">
        <f>IF(B50&lt;&gt;"",VLOOKUP(B50,Items!$A$616:$X$640,16,FALSE),"")</f>
        <v/>
      </c>
      <c r="E50" s="13" t="str">
        <f>IF(B50&lt;&gt;"",VLOOKUP(B50,Items!$A$616:$X$640,17,FALSE),"")</f>
        <v/>
      </c>
      <c r="F50" s="127" t="str">
        <f>IF(B50&lt;&gt;"",IF(VLOOKUP(B50,Items!$A$616:$X$640,19,FALSE)&lt;&gt;0,VLOOKUP(B50,Items!$A$616:$X$640,19,FALSE),""),"")</f>
        <v/>
      </c>
      <c r="G50" s="161" t="str">
        <f>IF(B50&lt;&gt;"",IF(VLOOKUP(B50,Items!$A$616:$X$640,20,FALSE)&lt;&gt;0,VLOOKUP(B50,Items!$A$616:$X$640,20,FALSE),""),"")</f>
        <v/>
      </c>
      <c r="H50" s="9" t="str">
        <f>IF(B50&lt;&gt;"",IF(VLOOKUP(B50,Items!$A$616:$X$640,21,FALSE)&lt;&gt;0,VLOOKUP(B50,Items!$A$616:$X$640,21,FALSE),""),"")</f>
        <v/>
      </c>
      <c r="I50" s="88" t="str">
        <f>IF(B50&lt;&gt;"",IF(VLOOKUP(B50,Items!$A$616:$X$640,22,FALSE)&lt;&gt;0,VLOOKUP(B50,Items!$A$616:$X$640,22,FALSE),""),"")</f>
        <v/>
      </c>
      <c r="J50" s="9" t="str">
        <f>IF(B50&lt;&gt;"",IF(VLOOKUP(B50,Items!$A$616:$X$640,23,FALSE)&lt;&gt;0,VLOOKUP(B50,Items!$A$616:$X$640,23,FALSE),""),"")</f>
        <v/>
      </c>
      <c r="K50" s="1" t="str">
        <f>IF(B50&lt;&gt;"",IF(VLOOKUP(B50,Items!$A$616:$X$640,24,FALSE)&lt;&gt;0,VLOOKUP(B50,Items!$A$616:$X$640,24,FALSE),""),"")</f>
        <v/>
      </c>
      <c r="L50" s="88"/>
      <c r="M50" s="9"/>
      <c r="N50" s="9"/>
      <c r="O50" s="88"/>
      <c r="P50" s="127"/>
      <c r="Q50" s="1"/>
    </row>
    <row r="51" spans="1:17" hidden="1">
      <c r="A51" s="172" t="s">
        <v>1151</v>
      </c>
      <c r="B51" s="52"/>
      <c r="C51" s="232" t="str">
        <f>IF(B51&lt;&gt;"",VLOOKUP(B51,Items!$A$616:$X$640,15,FALSE),"")</f>
        <v/>
      </c>
      <c r="D51" s="232" t="str">
        <f>IF(B51&lt;&gt;"",VLOOKUP(B51,Items!$A$616:$X$640,16,FALSE),"")</f>
        <v/>
      </c>
      <c r="E51" s="13" t="str">
        <f>IF(B51&lt;&gt;"",VLOOKUP(B51,Items!$A$616:$X$640,17,FALSE),"")</f>
        <v/>
      </c>
      <c r="F51" s="127" t="str">
        <f>IF(B51&lt;&gt;"",IF(VLOOKUP(B51,Items!$A$616:$X$640,19,FALSE)&lt;&gt;0,VLOOKUP(B51,Items!$A$616:$X$640,19,FALSE),""),"")</f>
        <v/>
      </c>
      <c r="G51" s="161" t="str">
        <f>IF(B51&lt;&gt;"",IF(VLOOKUP(B51,Items!$A$616:$X$640,20,FALSE)&lt;&gt;0,VLOOKUP(B51,Items!$A$616:$X$640,20,FALSE),""),"")</f>
        <v/>
      </c>
      <c r="H51" s="9" t="str">
        <f>IF(B51&lt;&gt;"",IF(VLOOKUP(B51,Items!$A$616:$X$640,21,FALSE)&lt;&gt;0,VLOOKUP(B51,Items!$A$616:$X$640,21,FALSE),""),"")</f>
        <v/>
      </c>
      <c r="I51" s="88" t="str">
        <f>IF(B51&lt;&gt;"",IF(VLOOKUP(B51,Items!$A$616:$X$640,22,FALSE)&lt;&gt;0,VLOOKUP(B51,Items!$A$616:$X$640,22,FALSE),""),"")</f>
        <v/>
      </c>
      <c r="J51" s="9" t="str">
        <f>IF(B51&lt;&gt;"",IF(VLOOKUP(B51,Items!$A$616:$X$640,23,FALSE)&lt;&gt;0,VLOOKUP(B51,Items!$A$616:$X$640,23,FALSE),""),"")</f>
        <v/>
      </c>
      <c r="K51" s="1" t="str">
        <f>IF(B51&lt;&gt;"",IF(VLOOKUP(B51,Items!$A$616:$X$640,24,FALSE)&lt;&gt;0,VLOOKUP(B51,Items!$A$616:$X$640,24,FALSE),""),"")</f>
        <v/>
      </c>
      <c r="L51" s="88"/>
      <c r="M51" s="9"/>
      <c r="N51" s="9"/>
      <c r="O51" s="88"/>
      <c r="P51" s="127"/>
      <c r="Q51" s="1"/>
    </row>
    <row r="52" spans="1:17">
      <c r="A52" s="46" t="s">
        <v>570</v>
      </c>
      <c r="B52" s="52" t="s">
        <v>1145</v>
      </c>
      <c r="C52" s="232">
        <f>IF(convertString(B52, "prefix")&lt;&gt;"",VLOOKUP(convertString(B52, "prefix"),Items!$A$544:$Z$612,15,FALSE),0) + IF(convertString(B52, "item")&lt;&gt;"",VLOOKUP(convertString(B52, "item"),Items!$A$14:$X$432,15,FALSE),0) + IF(convertString(B52, "suffix")&lt;&gt;"",VLOOKUP(convertString(B52, "suffix"),Items!$A$544:$Z$612,15,FALSE),0) + SUM(C53:C58)</f>
        <v>0</v>
      </c>
      <c r="D52" s="232">
        <f>IF(convertString(B52, "prefix")&lt;&gt;"",VLOOKUP(convertString(B52, "prefix"),Items!$A$544:$Z$612,16,FALSE),0) + IF(convertString(B52, "item")&lt;&gt;"",VLOOKUP(convertString(B52, "item"),Items!$A$14:$X$432,16,FALSE),0) + IF(convertString(B52, "suffix")&lt;&gt;"",VLOOKUP(convertString(B52, "suffix"),Items!$A$544:$Z$612,16,FALSE),0)+SUM(D53:D58)</f>
        <v>0</v>
      </c>
      <c r="E52" s="232">
        <f>IF(convertString(B52, "prefix")&lt;&gt;"",VLOOKUP(convertString(B52, "prefix"),Items!$A$544:$Z$612,17,FALSE),0) + IF(convertString(B52, "item")&lt;&gt;"",VLOOKUP(convertString(B52, "item"),Items!$A$14:$X$432,17,FALSE),0) + IF(convertString(B52, "suffix")&lt;&gt;"",VLOOKUP(convertString(B52, "suffix"),Items!$A$544:$Z$612,17,FALSE),0)+SUM(E53:E58)</f>
        <v>0</v>
      </c>
      <c r="F52" s="88" t="str">
        <f>IF(VLOOKUP(convertString(B52, "item"),Items!$A$14:$X$432,19,FALSE)&lt;&gt;"",VLOOKUP(convertString(B52, "item"),Items!$A$14:$X$432,19,FALSE),"")</f>
        <v/>
      </c>
      <c r="G52" s="118" t="str">
        <f>IF(VLOOKUP(convertString(B52, "item"),Items!$A$14:$X$432,20,FALSE)&lt;&gt;0,VLOOKUP(convertString(B52, "item"),Items!$A$14:$X$432,20,FALSE),"")</f>
        <v/>
      </c>
      <c r="H52" s="9" t="str">
        <f>IF(VLOOKUP(convertString(B52, "item"),Items!$A$14:$X$432,21,FALSE)&lt;&gt;"",VLOOKUP(convertString(B52, "item"),Items!$A$14:$X$432,21,FALSE),"")</f>
        <v/>
      </c>
      <c r="I52" s="88" t="str">
        <f>IF(VLOOKUP(convertString(B52, "item"),Items!$A$14:$X$432,22,FALSE)&lt;&gt;"",VLOOKUP(convertString(B52, "item"),Items!$A$14:$X$432,22,FALSE),"")</f>
        <v/>
      </c>
      <c r="J52" s="161" t="str">
        <f>IF(VLOOKUP(convertString(B52, "item"),Items!$A$14:$X$432,23,FALSE)&lt;&gt;"",VLOOKUP(convertString(B52, "item"),Items!$A$14:$X$432,23,FALSE),"")</f>
        <v/>
      </c>
      <c r="K52" s="9" t="str">
        <f>IF(VLOOKUP(convertString(B52, "item"),Items!$A$14:$X$432,24,FALSE)&lt;&gt;"",VLOOKUP(convertString(B52, "item"),Items!$A$14:$X$432,24,FALSE),"")</f>
        <v/>
      </c>
      <c r="L52" s="88" t="str">
        <f>IF(IF(convertString(B52, "suffix")&lt;&gt;"",VLOOKUP(convertString(B52, "suffix"),Items!$A$544:$Z$612,19,FALSE),"")&lt;&gt;"",IF(convertString(B52, "suffix")&lt;&gt;"",VLOOKUP(convertString(B52, "suffix"),Items!$A$544:$Z$612,19,FALSE),""),"")</f>
        <v/>
      </c>
      <c r="M52" s="9" t="str">
        <f>IF(IF(convertString(B52, "suffix")&lt;&gt;"",VLOOKUP(convertString(B52, "suffix"),Items!$A$544:$Z$612,20,FALSE),"")&lt;&gt;"",IF(convertString(B52, "suffix")&lt;&gt;"",VLOOKUP(convertString(B52, "suffix"),Items!$A$544:$Z$612,20,FALSE),""),"")</f>
        <v/>
      </c>
      <c r="N52" s="9" t="str">
        <f>IF(IF(convertString(B52, "suffix")&lt;&gt;"",VLOOKUP(convertString(B52, "suffix"),Items!$A$544:$Z$612,21,FALSE),"")&lt;&gt;"",IF(convertString(B52, "suffix")&lt;&gt;"",VLOOKUP(convertString(B52, "suffix"),Items!$A$544:$Z$612,21,FALSE),""),"")</f>
        <v/>
      </c>
      <c r="O52" s="88" t="str">
        <f>IF(IF(convertString(B52, "prefix")&lt;&gt;"",VLOOKUP(convertString(B52, "prefix"),Items!$A$544:$Z$612,19,FALSE),"")&lt;&gt;"",IF(convertString(B52, "prefix")&lt;&gt;"",VLOOKUP(convertString(B52, "prefix"),Items!$A$544:$Z$612,19,FALSE),""),"")</f>
        <v/>
      </c>
      <c r="P52" s="127" t="str">
        <f>IF(IF(convertString(B52, "prefix")&lt;&gt;"",VLOOKUP(convertString(B52, "prefix"),Items!$A$544:$Z$612,20,FALSE),"")&lt;&gt;"",IF(convertString(B52, "prefix")&lt;&gt;"",VLOOKUP(convertString(B52, "prefix"),Items!$A$544:$Z$612,20,FALSE),""),"")</f>
        <v/>
      </c>
      <c r="Q52" s="1" t="str">
        <f>IF(IF(convertString(B52, "prefix")&lt;&gt;"",VLOOKUP(convertString(B52, "prefix"),Items!$A$544:$Z$612,21,FALSE),"")&lt;&gt;"",IF(convertString(B52, "prefix")&lt;&gt;"",VLOOKUP(convertString(B52, "prefix"),Items!$A$544:$Z$612,21,FALSE),""),"")</f>
        <v/>
      </c>
    </row>
    <row r="53" spans="1:17" hidden="1">
      <c r="A53" s="172" t="s">
        <v>1146</v>
      </c>
      <c r="B53" s="52"/>
      <c r="C53" s="232" t="str">
        <f>IF(B53&lt;&gt;"",VLOOKUP(B53,Items!$A$616:$X$640,15,FALSE),"")</f>
        <v/>
      </c>
      <c r="D53" s="232" t="str">
        <f>IF(B53&lt;&gt;"",VLOOKUP(B53,Items!$A$616:$X$640,16,FALSE),"")</f>
        <v/>
      </c>
      <c r="E53" s="13" t="str">
        <f>IF(B53&lt;&gt;"",VLOOKUP(B53,Items!$A$616:$X$640,17,FALSE),"")</f>
        <v/>
      </c>
      <c r="F53" s="127" t="str">
        <f>IF(B53&lt;&gt;"",IF(VLOOKUP(B53,Items!$A$616:$X$640,19,FALSE)&lt;&gt;0,VLOOKUP(B53,Items!$A$616:$X$640,19,FALSE),""),"")</f>
        <v/>
      </c>
      <c r="G53" s="161" t="str">
        <f>IF(B53&lt;&gt;"",IF(VLOOKUP(B53,Items!$A$616:$X$640,20,FALSE)&lt;&gt;0,VLOOKUP(B53,Items!$A$616:$X$640,20,FALSE),""),"")</f>
        <v/>
      </c>
      <c r="H53" s="9" t="str">
        <f>IF(B53&lt;&gt;"",IF(VLOOKUP(B53,Items!$A$616:$X$640,21,FALSE)&lt;&gt;0,VLOOKUP(B53,Items!$A$616:$X$640,21,FALSE),""),"")</f>
        <v/>
      </c>
      <c r="I53" s="88" t="str">
        <f>IF(B53&lt;&gt;"",IF(VLOOKUP(B53,Items!$A$616:$X$640,22,FALSE)&lt;&gt;0,VLOOKUP(B53,Items!$A$616:$X$640,22,FALSE),""),"")</f>
        <v/>
      </c>
      <c r="J53" s="9" t="str">
        <f>IF(B53&lt;&gt;"",IF(VLOOKUP(B53,Items!$A$616:$X$640,23,FALSE)&lt;&gt;0,VLOOKUP(B53,Items!$A$616:$X$640,23,FALSE),""),"")</f>
        <v/>
      </c>
      <c r="K53" s="1" t="str">
        <f>IF(B53&lt;&gt;"",IF(VLOOKUP(B53,Items!$A$616:$X$640,24,FALSE)&lt;&gt;0,VLOOKUP(B53,Items!$A$616:$X$640,24,FALSE),""),"")</f>
        <v/>
      </c>
      <c r="L53" s="88"/>
      <c r="M53" s="9"/>
      <c r="N53" s="9"/>
      <c r="O53" s="88"/>
      <c r="P53" s="127"/>
      <c r="Q53" s="1"/>
    </row>
    <row r="54" spans="1:17" hidden="1">
      <c r="A54" s="172" t="s">
        <v>1147</v>
      </c>
      <c r="B54" s="52"/>
      <c r="C54" s="232" t="str">
        <f>IF(B54&lt;&gt;"",VLOOKUP(B54,Items!$A$616:$X$640,15,FALSE),"")</f>
        <v/>
      </c>
      <c r="D54" s="232" t="str">
        <f>IF(B54&lt;&gt;"",VLOOKUP(B54,Items!$A$616:$X$640,16,FALSE),"")</f>
        <v/>
      </c>
      <c r="E54" s="13" t="str">
        <f>IF(B54&lt;&gt;"",VLOOKUP(B54,Items!$A$616:$X$640,17,FALSE),"")</f>
        <v/>
      </c>
      <c r="F54" s="127" t="str">
        <f>IF(B54&lt;&gt;"",IF(VLOOKUP(B54,Items!$A$616:$X$640,19,FALSE)&lt;&gt;0,VLOOKUP(B54,Items!$A$616:$X$640,19,FALSE),""),"")</f>
        <v/>
      </c>
      <c r="G54" s="161" t="str">
        <f>IF(B54&lt;&gt;"",IF(VLOOKUP(B54,Items!$A$616:$X$640,20,FALSE)&lt;&gt;0,VLOOKUP(B54,Items!$A$616:$X$640,20,FALSE),""),"")</f>
        <v/>
      </c>
      <c r="H54" s="9" t="str">
        <f>IF(B54&lt;&gt;"",IF(VLOOKUP(B54,Items!$A$616:$X$640,21,FALSE)&lt;&gt;0,VLOOKUP(B54,Items!$A$616:$X$640,21,FALSE),""),"")</f>
        <v/>
      </c>
      <c r="I54" s="88" t="str">
        <f>IF(B54&lt;&gt;"",IF(VLOOKUP(B54,Items!$A$616:$X$640,22,FALSE)&lt;&gt;0,VLOOKUP(B54,Items!$A$616:$X$640,22,FALSE),""),"")</f>
        <v/>
      </c>
      <c r="J54" s="9" t="str">
        <f>IF(B54&lt;&gt;"",IF(VLOOKUP(B54,Items!$A$616:$X$640,23,FALSE)&lt;&gt;0,VLOOKUP(B54,Items!$A$616:$X$640,23,FALSE),""),"")</f>
        <v/>
      </c>
      <c r="K54" s="1" t="str">
        <f>IF(B54&lt;&gt;"",IF(VLOOKUP(B54,Items!$A$616:$X$640,24,FALSE)&lt;&gt;0,VLOOKUP(B54,Items!$A$616:$X$640,24,FALSE),""),"")</f>
        <v/>
      </c>
      <c r="L54" s="88"/>
      <c r="M54" s="9"/>
      <c r="N54" s="9"/>
      <c r="O54" s="88"/>
      <c r="P54" s="127"/>
      <c r="Q54" s="1"/>
    </row>
    <row r="55" spans="1:17" hidden="1">
      <c r="A55" s="172" t="s">
        <v>1148</v>
      </c>
      <c r="B55" s="52"/>
      <c r="C55" s="232" t="str">
        <f>IF(B55&lt;&gt;"",VLOOKUP(B55,Items!$A$616:$X$640,15,FALSE),"")</f>
        <v/>
      </c>
      <c r="D55" s="232" t="str">
        <f>IF(B55&lt;&gt;"",VLOOKUP(B55,Items!$A$616:$X$640,16,FALSE),"")</f>
        <v/>
      </c>
      <c r="E55" s="13" t="str">
        <f>IF(B55&lt;&gt;"",VLOOKUP(B55,Items!$A$616:$X$640,17,FALSE),"")</f>
        <v/>
      </c>
      <c r="F55" s="127" t="str">
        <f>IF(B55&lt;&gt;"",IF(VLOOKUP(B55,Items!$A$616:$X$640,19,FALSE)&lt;&gt;0,VLOOKUP(B55,Items!$A$616:$X$640,19,FALSE),""),"")</f>
        <v/>
      </c>
      <c r="G55" s="161" t="str">
        <f>IF(B55&lt;&gt;"",IF(VLOOKUP(B55,Items!$A$616:$X$640,20,FALSE)&lt;&gt;0,VLOOKUP(B55,Items!$A$616:$X$640,20,FALSE),""),"")</f>
        <v/>
      </c>
      <c r="H55" s="9" t="str">
        <f>IF(B55&lt;&gt;"",IF(VLOOKUP(B55,Items!$A$616:$X$640,21,FALSE)&lt;&gt;0,VLOOKUP(B55,Items!$A$616:$X$640,21,FALSE),""),"")</f>
        <v/>
      </c>
      <c r="I55" s="88" t="str">
        <f>IF(B55&lt;&gt;"",IF(VLOOKUP(B55,Items!$A$616:$X$640,22,FALSE)&lt;&gt;0,VLOOKUP(B55,Items!$A$616:$X$640,22,FALSE),""),"")</f>
        <v/>
      </c>
      <c r="J55" s="9" t="str">
        <f>IF(B55&lt;&gt;"",IF(VLOOKUP(B55,Items!$A$616:$X$640,23,FALSE)&lt;&gt;0,VLOOKUP(B55,Items!$A$616:$X$640,23,FALSE),""),"")</f>
        <v/>
      </c>
      <c r="K55" s="1" t="str">
        <f>IF(B55&lt;&gt;"",IF(VLOOKUP(B55,Items!$A$616:$X$640,24,FALSE)&lt;&gt;0,VLOOKUP(B55,Items!$A$616:$X$640,24,FALSE),""),"")</f>
        <v/>
      </c>
      <c r="L55" s="88"/>
      <c r="M55" s="9"/>
      <c r="N55" s="9"/>
      <c r="O55" s="88"/>
      <c r="P55" s="127"/>
      <c r="Q55" s="1"/>
    </row>
    <row r="56" spans="1:17" hidden="1">
      <c r="A56" s="172" t="s">
        <v>1149</v>
      </c>
      <c r="B56" s="52"/>
      <c r="C56" s="232" t="str">
        <f>IF(B56&lt;&gt;"",VLOOKUP(B56,Items!$A$616:$X$640,15,FALSE),"")</f>
        <v/>
      </c>
      <c r="D56" s="232" t="str">
        <f>IF(B56&lt;&gt;"",VLOOKUP(B56,Items!$A$616:$X$640,16,FALSE),"")</f>
        <v/>
      </c>
      <c r="E56" s="13" t="str">
        <f>IF(B56&lt;&gt;"",VLOOKUP(B56,Items!$A$616:$X$640,17,FALSE),"")</f>
        <v/>
      </c>
      <c r="F56" s="127" t="str">
        <f>IF(B56&lt;&gt;"",IF(VLOOKUP(B56,Items!$A$616:$X$640,19,FALSE)&lt;&gt;0,VLOOKUP(B56,Items!$A$616:$X$640,19,FALSE),""),"")</f>
        <v/>
      </c>
      <c r="G56" s="161" t="str">
        <f>IF(B56&lt;&gt;"",IF(VLOOKUP(B56,Items!$A$616:$X$640,20,FALSE)&lt;&gt;0,VLOOKUP(B56,Items!$A$616:$X$640,20,FALSE),""),"")</f>
        <v/>
      </c>
      <c r="H56" s="9" t="str">
        <f>IF(B56&lt;&gt;"",IF(VLOOKUP(B56,Items!$A$616:$X$640,21,FALSE)&lt;&gt;0,VLOOKUP(B56,Items!$A$616:$X$640,21,FALSE),""),"")</f>
        <v/>
      </c>
      <c r="I56" s="88" t="str">
        <f>IF(B56&lt;&gt;"",IF(VLOOKUP(B56,Items!$A$616:$X$640,22,FALSE)&lt;&gt;0,VLOOKUP(B56,Items!$A$616:$X$640,22,FALSE),""),"")</f>
        <v/>
      </c>
      <c r="J56" s="9" t="str">
        <f>IF(B56&lt;&gt;"",IF(VLOOKUP(B56,Items!$A$616:$X$640,23,FALSE)&lt;&gt;0,VLOOKUP(B56,Items!$A$616:$X$640,23,FALSE),""),"")</f>
        <v/>
      </c>
      <c r="K56" s="1" t="str">
        <f>IF(B56&lt;&gt;"",IF(VLOOKUP(B56,Items!$A$616:$X$640,24,FALSE)&lt;&gt;0,VLOOKUP(B56,Items!$A$616:$X$640,24,FALSE),""),"")</f>
        <v/>
      </c>
      <c r="L56" s="88"/>
      <c r="M56" s="9"/>
      <c r="N56" s="9"/>
      <c r="O56" s="88"/>
      <c r="P56" s="127"/>
      <c r="Q56" s="1"/>
    </row>
    <row r="57" spans="1:17" hidden="1">
      <c r="A57" s="172" t="s">
        <v>1150</v>
      </c>
      <c r="B57" s="52"/>
      <c r="C57" s="232" t="str">
        <f>IF(B57&lt;&gt;"",VLOOKUP(B57,Items!$A$616:$X$640,15,FALSE),"")</f>
        <v/>
      </c>
      <c r="D57" s="232" t="str">
        <f>IF(B57&lt;&gt;"",VLOOKUP(B57,Items!$A$616:$X$640,16,FALSE),"")</f>
        <v/>
      </c>
      <c r="E57" s="13" t="str">
        <f>IF(B57&lt;&gt;"",VLOOKUP(B57,Items!$A$616:$X$640,17,FALSE),"")</f>
        <v/>
      </c>
      <c r="F57" s="127" t="str">
        <f>IF(B57&lt;&gt;"",IF(VLOOKUP(B57,Items!$A$616:$X$640,19,FALSE)&lt;&gt;0,VLOOKUP(B57,Items!$A$616:$X$640,19,FALSE),""),"")</f>
        <v/>
      </c>
      <c r="G57" s="161" t="str">
        <f>IF(B57&lt;&gt;"",IF(VLOOKUP(B57,Items!$A$616:$X$640,20,FALSE)&lt;&gt;0,VLOOKUP(B57,Items!$A$616:$X$640,20,FALSE),""),"")</f>
        <v/>
      </c>
      <c r="H57" s="9" t="str">
        <f>IF(B57&lt;&gt;"",IF(VLOOKUP(B57,Items!$A$616:$X$640,21,FALSE)&lt;&gt;0,VLOOKUP(B57,Items!$A$616:$X$640,21,FALSE),""),"")</f>
        <v/>
      </c>
      <c r="I57" s="88" t="str">
        <f>IF(B57&lt;&gt;"",IF(VLOOKUP(B57,Items!$A$616:$X$640,22,FALSE)&lt;&gt;0,VLOOKUP(B57,Items!$A$616:$X$640,22,FALSE),""),"")</f>
        <v/>
      </c>
      <c r="J57" s="9" t="str">
        <f>IF(B57&lt;&gt;"",IF(VLOOKUP(B57,Items!$A$616:$X$640,23,FALSE)&lt;&gt;0,VLOOKUP(B57,Items!$A$616:$X$640,23,FALSE),""),"")</f>
        <v/>
      </c>
      <c r="K57" s="1" t="str">
        <f>IF(B57&lt;&gt;"",IF(VLOOKUP(B57,Items!$A$616:$X$640,24,FALSE)&lt;&gt;0,VLOOKUP(B57,Items!$A$616:$X$640,24,FALSE),""),"")</f>
        <v/>
      </c>
      <c r="L57" s="88"/>
      <c r="M57" s="9"/>
      <c r="N57" s="9"/>
      <c r="O57" s="88"/>
      <c r="P57" s="127"/>
      <c r="Q57" s="1"/>
    </row>
    <row r="58" spans="1:17" hidden="1">
      <c r="A58" s="172" t="s">
        <v>1151</v>
      </c>
      <c r="B58" s="52"/>
      <c r="C58" s="232" t="str">
        <f>IF(B58&lt;&gt;"",VLOOKUP(B58,Items!$A$616:$X$640,15,FALSE),"")</f>
        <v/>
      </c>
      <c r="D58" s="232" t="str">
        <f>IF(B58&lt;&gt;"",VLOOKUP(B58,Items!$A$616:$X$640,16,FALSE),"")</f>
        <v/>
      </c>
      <c r="E58" s="13" t="str">
        <f>IF(B58&lt;&gt;"",VLOOKUP(B58,Items!$A$616:$X$640,17,FALSE),"")</f>
        <v/>
      </c>
      <c r="F58" s="127" t="str">
        <f>IF(B58&lt;&gt;"",IF(VLOOKUP(B58,Items!$A$616:$X$640,19,FALSE)&lt;&gt;0,VLOOKUP(B58,Items!$A$616:$X$640,19,FALSE),""),"")</f>
        <v/>
      </c>
      <c r="G58" s="161" t="str">
        <f>IF(B58&lt;&gt;"",IF(VLOOKUP(B58,Items!$A$616:$X$640,20,FALSE)&lt;&gt;0,VLOOKUP(B58,Items!$A$616:$X$640,20,FALSE),""),"")</f>
        <v/>
      </c>
      <c r="H58" s="9" t="str">
        <f>IF(B58&lt;&gt;"",IF(VLOOKUP(B58,Items!$A$616:$X$640,21,FALSE)&lt;&gt;0,VLOOKUP(B58,Items!$A$616:$X$640,21,FALSE),""),"")</f>
        <v/>
      </c>
      <c r="I58" s="88" t="str">
        <f>IF(B58&lt;&gt;"",IF(VLOOKUP(B58,Items!$A$616:$X$640,22,FALSE)&lt;&gt;0,VLOOKUP(B58,Items!$A$616:$X$640,22,FALSE),""),"")</f>
        <v/>
      </c>
      <c r="J58" s="9" t="str">
        <f>IF(B58&lt;&gt;"",IF(VLOOKUP(B58,Items!$A$616:$X$640,23,FALSE)&lt;&gt;0,VLOOKUP(B58,Items!$A$616:$X$640,23,FALSE),""),"")</f>
        <v/>
      </c>
      <c r="K58" s="1" t="str">
        <f>IF(B58&lt;&gt;"",IF(VLOOKUP(B58,Items!$A$616:$X$640,24,FALSE)&lt;&gt;0,VLOOKUP(B58,Items!$A$616:$X$640,24,FALSE),""),"")</f>
        <v/>
      </c>
      <c r="L58" s="88"/>
      <c r="M58" s="9"/>
      <c r="N58" s="9"/>
      <c r="O58" s="88"/>
      <c r="P58" s="127"/>
      <c r="Q58" s="1"/>
    </row>
    <row r="59" spans="1:17">
      <c r="A59" s="47" t="s">
        <v>567</v>
      </c>
      <c r="B59" s="52" t="s">
        <v>1145</v>
      </c>
      <c r="C59" s="232">
        <f>IF(convertString(B59, "prefix")&lt;&gt;"",VLOOKUP(convertString(B59, "prefix"),Items!$A$544:$Z$612,15,FALSE),0) + IF(convertString(B59, "item")&lt;&gt;"",VLOOKUP(convertString(B59, "item"),Items!$A$14:$X$432,15,FALSE),0) + IF(convertString(B59, "suffix")&lt;&gt;"",VLOOKUP(convertString(B59, "suffix"),Items!$A$544:$Z$612,15,FALSE),0) + SUM(C60:C65)</f>
        <v>0</v>
      </c>
      <c r="D59" s="232">
        <f>IF(convertString(B59, "prefix")&lt;&gt;"",VLOOKUP(convertString(B59, "prefix"),Items!$A$544:$Z$612,16,FALSE),0) + IF(convertString(B59, "item")&lt;&gt;"",VLOOKUP(convertString(B59, "item"),Items!$A$14:$X$432,16,FALSE),0) + IF(convertString(B59, "suffix")&lt;&gt;"",VLOOKUP(convertString(B59, "suffix"),Items!$A$544:$Z$612,16,FALSE),0)+SUM(D60:D65)</f>
        <v>0</v>
      </c>
      <c r="E59" s="232">
        <f>IF(convertString(B59, "prefix")&lt;&gt;"",VLOOKUP(convertString(B59, "prefix"),Items!$A$544:$Z$612,17,FALSE),0) + IF(convertString(B59, "item")&lt;&gt;"",VLOOKUP(convertString(B59, "item"),Items!$A$14:$X$432,17,FALSE),0) + IF(convertString(B59, "suffix")&lt;&gt;"",VLOOKUP(convertString(B59, "suffix"),Items!$A$544:$Z$612,17,FALSE),0)+SUM(E60:E65)</f>
        <v>0</v>
      </c>
      <c r="F59" s="88" t="str">
        <f>IF(VLOOKUP(convertString(B59, "item"),Items!$A$14:$X$432,19,FALSE)&lt;&gt;"",VLOOKUP(convertString(B59, "item"),Items!$A$14:$X$432,19,FALSE),"")</f>
        <v/>
      </c>
      <c r="G59" s="118" t="str">
        <f>IF(VLOOKUP(convertString(B59, "item"),Items!$A$14:$X$432,20,FALSE)&lt;&gt;0,VLOOKUP(convertString(B59, "item"),Items!$A$14:$X$432,20,FALSE),"")</f>
        <v/>
      </c>
      <c r="H59" s="9" t="str">
        <f>IF(VLOOKUP(convertString(B59, "item"),Items!$A$14:$X$432,21,FALSE)&lt;&gt;"",VLOOKUP(convertString(B59, "item"),Items!$A$14:$X$432,21,FALSE),"")</f>
        <v/>
      </c>
      <c r="I59" s="88" t="str">
        <f>IF(VLOOKUP(convertString(B59, "item"),Items!$A$14:$X$432,22,FALSE)&lt;&gt;"",VLOOKUP(convertString(B59, "item"),Items!$A$14:$X$432,22,FALSE),"")</f>
        <v/>
      </c>
      <c r="J59" s="161" t="str">
        <f>IF(VLOOKUP(convertString(B59, "item"),Items!$A$14:$X$432,23,FALSE)&lt;&gt;"",VLOOKUP(convertString(B59, "item"),Items!$A$14:$X$432,23,FALSE),"")</f>
        <v/>
      </c>
      <c r="K59" s="9" t="str">
        <f>IF(VLOOKUP(convertString(B59, "item"),Items!$A$14:$X$432,24,FALSE)&lt;&gt;"",VLOOKUP(convertString(B59, "item"),Items!$A$14:$X$432,24,FALSE),"")</f>
        <v/>
      </c>
      <c r="L59" s="88" t="str">
        <f>IF(IF(convertString(B59, "suffix")&lt;&gt;"",VLOOKUP(convertString(B59, "suffix"),Items!$A$544:$Z$612,19,FALSE),"")&lt;&gt;"",IF(convertString(B59, "suffix")&lt;&gt;"",VLOOKUP(convertString(B59, "suffix"),Items!$A$544:$Z$612,19,FALSE),""),"")</f>
        <v/>
      </c>
      <c r="M59" s="9" t="str">
        <f>IF(IF(convertString(B59, "suffix")&lt;&gt;"",VLOOKUP(convertString(B59, "suffix"),Items!$A$544:$Z$612,20,FALSE),"")&lt;&gt;"",IF(convertString(B59, "suffix")&lt;&gt;"",VLOOKUP(convertString(B59, "suffix"),Items!$A$544:$Z$612,20,FALSE),""),"")</f>
        <v/>
      </c>
      <c r="N59" s="9" t="str">
        <f>IF(IF(convertString(B59, "suffix")&lt;&gt;"",VLOOKUP(convertString(B59, "suffix"),Items!$A$544:$Z$612,21,FALSE),"")&lt;&gt;"",IF(convertString(B59, "suffix")&lt;&gt;"",VLOOKUP(convertString(B59, "suffix"),Items!$A$544:$Z$612,21,FALSE),""),"")</f>
        <v/>
      </c>
      <c r="O59" s="88" t="str">
        <f>IF(IF(convertString(B59, "prefix")&lt;&gt;"",VLOOKUP(convertString(B59, "prefix"),Items!$A$544:$Z$612,19,FALSE),"")&lt;&gt;"",IF(convertString(B59, "prefix")&lt;&gt;"",VLOOKUP(convertString(B59, "prefix"),Items!$A$544:$Z$612,19,FALSE),""),"")</f>
        <v/>
      </c>
      <c r="P59" s="127" t="str">
        <f>IF(IF(convertString(B59, "prefix")&lt;&gt;"",VLOOKUP(convertString(B59, "prefix"),Items!$A$544:$Z$612,20,FALSE),"")&lt;&gt;"",IF(convertString(B59, "prefix")&lt;&gt;"",VLOOKUP(convertString(B59, "prefix"),Items!$A$544:$Z$612,20,FALSE),""),"")</f>
        <v/>
      </c>
      <c r="Q59" s="1" t="str">
        <f>IF(IF(convertString(B59, "prefix")&lt;&gt;"",VLOOKUP(convertString(B59, "prefix"),Items!$A$544:$Z$612,21,FALSE),"")&lt;&gt;"",IF(convertString(B59, "prefix")&lt;&gt;"",VLOOKUP(convertString(B59, "prefix"),Items!$A$544:$Z$612,21,FALSE),""),"")</f>
        <v/>
      </c>
    </row>
    <row r="60" spans="1:17" hidden="1">
      <c r="A60" s="172" t="s">
        <v>1146</v>
      </c>
      <c r="B60" s="52"/>
      <c r="C60" s="232" t="str">
        <f>IF(B60&lt;&gt;"",VLOOKUP(B60,Items!$A$616:$X$640,15,FALSE),"")</f>
        <v/>
      </c>
      <c r="D60" s="232" t="str">
        <f>IF(B60&lt;&gt;"",VLOOKUP(B60,Items!$A$616:$X$640,16,FALSE),"")</f>
        <v/>
      </c>
      <c r="E60" s="13" t="str">
        <f>IF(B60&lt;&gt;"",VLOOKUP(B60,Items!$A$616:$X$640,17,FALSE),"")</f>
        <v/>
      </c>
      <c r="F60" s="127" t="str">
        <f>IF(B60&lt;&gt;"",IF(VLOOKUP(B60,Items!$A$616:$X$640,19,FALSE)&lt;&gt;0,VLOOKUP(B60,Items!$A$616:$X$640,19,FALSE),""),"")</f>
        <v/>
      </c>
      <c r="G60" s="161" t="str">
        <f>IF(B60&lt;&gt;"",IF(VLOOKUP(B60,Items!$A$616:$X$640,20,FALSE)&lt;&gt;0,VLOOKUP(B60,Items!$A$616:$X$640,20,FALSE),""),"")</f>
        <v/>
      </c>
      <c r="H60" s="9" t="str">
        <f>IF(B60&lt;&gt;"",IF(VLOOKUP(B60,Items!$A$616:$X$640,21,FALSE)&lt;&gt;0,VLOOKUP(B60,Items!$A$616:$X$640,21,FALSE),""),"")</f>
        <v/>
      </c>
      <c r="I60" s="88" t="str">
        <f>IF(B60&lt;&gt;"",IF(VLOOKUP(B60,Items!$A$616:$X$640,22,FALSE)&lt;&gt;0,VLOOKUP(B60,Items!$A$616:$X$640,22,FALSE),""),"")</f>
        <v/>
      </c>
      <c r="J60" s="9" t="str">
        <f>IF(B60&lt;&gt;"",IF(VLOOKUP(B60,Items!$A$616:$X$640,23,FALSE)&lt;&gt;0,VLOOKUP(B60,Items!$A$616:$X$640,23,FALSE),""),"")</f>
        <v/>
      </c>
      <c r="K60" s="1" t="str">
        <f>IF(B60&lt;&gt;"",IF(VLOOKUP(B60,Items!$A$616:$X$640,24,FALSE)&lt;&gt;0,VLOOKUP(B60,Items!$A$616:$X$640,24,FALSE),""),"")</f>
        <v/>
      </c>
      <c r="L60" s="88"/>
      <c r="M60" s="9"/>
      <c r="N60" s="9"/>
      <c r="O60" s="88"/>
      <c r="P60" s="127"/>
      <c r="Q60" s="1"/>
    </row>
    <row r="61" spans="1:17" hidden="1">
      <c r="A61" s="172" t="s">
        <v>1147</v>
      </c>
      <c r="B61" s="52"/>
      <c r="C61" s="232" t="str">
        <f>IF(B61&lt;&gt;"",VLOOKUP(B61,Items!$A$616:$X$640,15,FALSE),"")</f>
        <v/>
      </c>
      <c r="D61" s="232" t="str">
        <f>IF(B61&lt;&gt;"",VLOOKUP(B61,Items!$A$616:$X$640,16,FALSE),"")</f>
        <v/>
      </c>
      <c r="E61" s="13" t="str">
        <f>IF(B61&lt;&gt;"",VLOOKUP(B61,Items!$A$616:$X$640,17,FALSE),"")</f>
        <v/>
      </c>
      <c r="F61" s="127" t="str">
        <f>IF(B61&lt;&gt;"",IF(VLOOKUP(B61,Items!$A$616:$X$640,19,FALSE)&lt;&gt;0,VLOOKUP(B61,Items!$A$616:$X$640,19,FALSE),""),"")</f>
        <v/>
      </c>
      <c r="G61" s="161" t="str">
        <f>IF(B61&lt;&gt;"",IF(VLOOKUP(B61,Items!$A$616:$X$640,20,FALSE)&lt;&gt;0,VLOOKUP(B61,Items!$A$616:$X$640,20,FALSE),""),"")</f>
        <v/>
      </c>
      <c r="H61" s="9" t="str">
        <f>IF(B61&lt;&gt;"",IF(VLOOKUP(B61,Items!$A$616:$X$640,21,FALSE)&lt;&gt;0,VLOOKUP(B61,Items!$A$616:$X$640,21,FALSE),""),"")</f>
        <v/>
      </c>
      <c r="I61" s="88" t="str">
        <f>IF(B61&lt;&gt;"",IF(VLOOKUP(B61,Items!$A$616:$X$640,22,FALSE)&lt;&gt;0,VLOOKUP(B61,Items!$A$616:$X$640,22,FALSE),""),"")</f>
        <v/>
      </c>
      <c r="J61" s="9" t="str">
        <f>IF(B61&lt;&gt;"",IF(VLOOKUP(B61,Items!$A$616:$X$640,23,FALSE)&lt;&gt;0,VLOOKUP(B61,Items!$A$616:$X$640,23,FALSE),""),"")</f>
        <v/>
      </c>
      <c r="K61" s="1" t="str">
        <f>IF(B61&lt;&gt;"",IF(VLOOKUP(B61,Items!$A$616:$X$640,24,FALSE)&lt;&gt;0,VLOOKUP(B61,Items!$A$616:$X$640,24,FALSE),""),"")</f>
        <v/>
      </c>
      <c r="L61" s="88"/>
      <c r="M61" s="9"/>
      <c r="N61" s="9"/>
      <c r="O61" s="88"/>
      <c r="P61" s="127"/>
      <c r="Q61" s="1"/>
    </row>
    <row r="62" spans="1:17" hidden="1">
      <c r="A62" s="172" t="s">
        <v>1148</v>
      </c>
      <c r="B62" s="52"/>
      <c r="C62" s="232" t="str">
        <f>IF(B62&lt;&gt;"",VLOOKUP(B62,Items!$A$616:$X$640,15,FALSE),"")</f>
        <v/>
      </c>
      <c r="D62" s="232" t="str">
        <f>IF(B62&lt;&gt;"",VLOOKUP(B62,Items!$A$616:$X$640,16,FALSE),"")</f>
        <v/>
      </c>
      <c r="E62" s="13" t="str">
        <f>IF(B62&lt;&gt;"",VLOOKUP(B62,Items!$A$616:$X$640,17,FALSE),"")</f>
        <v/>
      </c>
      <c r="F62" s="127" t="str">
        <f>IF(B62&lt;&gt;"",IF(VLOOKUP(B62,Items!$A$616:$X$640,19,FALSE)&lt;&gt;0,VLOOKUP(B62,Items!$A$616:$X$640,19,FALSE),""),"")</f>
        <v/>
      </c>
      <c r="G62" s="161" t="str">
        <f>IF(B62&lt;&gt;"",IF(VLOOKUP(B62,Items!$A$616:$X$640,20,FALSE)&lt;&gt;0,VLOOKUP(B62,Items!$A$616:$X$640,20,FALSE),""),"")</f>
        <v/>
      </c>
      <c r="H62" s="9" t="str">
        <f>IF(B62&lt;&gt;"",IF(VLOOKUP(B62,Items!$A$616:$X$640,21,FALSE)&lt;&gt;0,VLOOKUP(B62,Items!$A$616:$X$640,21,FALSE),""),"")</f>
        <v/>
      </c>
      <c r="I62" s="88" t="str">
        <f>IF(B62&lt;&gt;"",IF(VLOOKUP(B62,Items!$A$616:$X$640,22,FALSE)&lt;&gt;0,VLOOKUP(B62,Items!$A$616:$X$640,22,FALSE),""),"")</f>
        <v/>
      </c>
      <c r="J62" s="9" t="str">
        <f>IF(B62&lt;&gt;"",IF(VLOOKUP(B62,Items!$A$616:$X$640,23,FALSE)&lt;&gt;0,VLOOKUP(B62,Items!$A$616:$X$640,23,FALSE),""),"")</f>
        <v/>
      </c>
      <c r="K62" s="1" t="str">
        <f>IF(B62&lt;&gt;"",IF(VLOOKUP(B62,Items!$A$616:$X$640,24,FALSE)&lt;&gt;0,VLOOKUP(B62,Items!$A$616:$X$640,24,FALSE),""),"")</f>
        <v/>
      </c>
      <c r="L62" s="88"/>
      <c r="M62" s="9"/>
      <c r="N62" s="9"/>
      <c r="O62" s="88"/>
      <c r="P62" s="127"/>
      <c r="Q62" s="1"/>
    </row>
    <row r="63" spans="1:17" hidden="1">
      <c r="A63" s="172" t="s">
        <v>1149</v>
      </c>
      <c r="B63" s="52"/>
      <c r="C63" s="232" t="str">
        <f>IF(B63&lt;&gt;"",VLOOKUP(B63,Items!$A$616:$X$640,15,FALSE),"")</f>
        <v/>
      </c>
      <c r="D63" s="232" t="str">
        <f>IF(B63&lt;&gt;"",VLOOKUP(B63,Items!$A$616:$X$640,16,FALSE),"")</f>
        <v/>
      </c>
      <c r="E63" s="13" t="str">
        <f>IF(B63&lt;&gt;"",VLOOKUP(B63,Items!$A$616:$X$640,17,FALSE),"")</f>
        <v/>
      </c>
      <c r="F63" s="127" t="str">
        <f>IF(B63&lt;&gt;"",IF(VLOOKUP(B63,Items!$A$616:$X$640,19,FALSE)&lt;&gt;0,VLOOKUP(B63,Items!$A$616:$X$640,19,FALSE),""),"")</f>
        <v/>
      </c>
      <c r="G63" s="161" t="str">
        <f>IF(B63&lt;&gt;"",IF(VLOOKUP(B63,Items!$A$616:$X$640,20,FALSE)&lt;&gt;0,VLOOKUP(B63,Items!$A$616:$X$640,20,FALSE),""),"")</f>
        <v/>
      </c>
      <c r="H63" s="9" t="str">
        <f>IF(B63&lt;&gt;"",IF(VLOOKUP(B63,Items!$A$616:$X$640,21,FALSE)&lt;&gt;0,VLOOKUP(B63,Items!$A$616:$X$640,21,FALSE),""),"")</f>
        <v/>
      </c>
      <c r="I63" s="88" t="str">
        <f>IF(B63&lt;&gt;"",IF(VLOOKUP(B63,Items!$A$616:$X$640,22,FALSE)&lt;&gt;0,VLOOKUP(B63,Items!$A$616:$X$640,22,FALSE),""),"")</f>
        <v/>
      </c>
      <c r="J63" s="9" t="str">
        <f>IF(B63&lt;&gt;"",IF(VLOOKUP(B63,Items!$A$616:$X$640,23,FALSE)&lt;&gt;0,VLOOKUP(B63,Items!$A$616:$X$640,23,FALSE),""),"")</f>
        <v/>
      </c>
      <c r="K63" s="1" t="str">
        <f>IF(B63&lt;&gt;"",IF(VLOOKUP(B63,Items!$A$616:$X$640,24,FALSE)&lt;&gt;0,VLOOKUP(B63,Items!$A$616:$X$640,24,FALSE),""),"")</f>
        <v/>
      </c>
      <c r="L63" s="88"/>
      <c r="M63" s="9"/>
      <c r="N63" s="9"/>
      <c r="O63" s="88"/>
      <c r="P63" s="127"/>
      <c r="Q63" s="1"/>
    </row>
    <row r="64" spans="1:17" hidden="1">
      <c r="A64" s="172" t="s">
        <v>1150</v>
      </c>
      <c r="B64" s="52"/>
      <c r="C64" s="232" t="str">
        <f>IF(B64&lt;&gt;"",VLOOKUP(B64,Items!$A$616:$X$640,15,FALSE),"")</f>
        <v/>
      </c>
      <c r="D64" s="232" t="str">
        <f>IF(B64&lt;&gt;"",VLOOKUP(B64,Items!$A$616:$X$640,16,FALSE),"")</f>
        <v/>
      </c>
      <c r="E64" s="13" t="str">
        <f>IF(B64&lt;&gt;"",VLOOKUP(B64,Items!$A$616:$X$640,17,FALSE),"")</f>
        <v/>
      </c>
      <c r="F64" s="127" t="str">
        <f>IF(B64&lt;&gt;"",IF(VLOOKUP(B64,Items!$A$616:$X$640,19,FALSE)&lt;&gt;0,VLOOKUP(B64,Items!$A$616:$X$640,19,FALSE),""),"")</f>
        <v/>
      </c>
      <c r="G64" s="161" t="str">
        <f>IF(B64&lt;&gt;"",IF(VLOOKUP(B64,Items!$A$616:$X$640,20,FALSE)&lt;&gt;0,VLOOKUP(B64,Items!$A$616:$X$640,20,FALSE),""),"")</f>
        <v/>
      </c>
      <c r="H64" s="9" t="str">
        <f>IF(B64&lt;&gt;"",IF(VLOOKUP(B64,Items!$A$616:$X$640,21,FALSE)&lt;&gt;0,VLOOKUP(B64,Items!$A$616:$X$640,21,FALSE),""),"")</f>
        <v/>
      </c>
      <c r="I64" s="88" t="str">
        <f>IF(B64&lt;&gt;"",IF(VLOOKUP(B64,Items!$A$616:$X$640,22,FALSE)&lt;&gt;0,VLOOKUP(B64,Items!$A$616:$X$640,22,FALSE),""),"")</f>
        <v/>
      </c>
      <c r="J64" s="9" t="str">
        <f>IF(B64&lt;&gt;"",IF(VLOOKUP(B64,Items!$A$616:$X$640,23,FALSE)&lt;&gt;0,VLOOKUP(B64,Items!$A$616:$X$640,23,FALSE),""),"")</f>
        <v/>
      </c>
      <c r="K64" s="1" t="str">
        <f>IF(B64&lt;&gt;"",IF(VLOOKUP(B64,Items!$A$616:$X$640,24,FALSE)&lt;&gt;0,VLOOKUP(B64,Items!$A$616:$X$640,24,FALSE),""),"")</f>
        <v/>
      </c>
      <c r="L64" s="88"/>
      <c r="M64" s="9"/>
      <c r="N64" s="9"/>
      <c r="O64" s="88"/>
      <c r="P64" s="127"/>
      <c r="Q64" s="1"/>
    </row>
    <row r="65" spans="1:17" hidden="1">
      <c r="A65" s="172" t="s">
        <v>1151</v>
      </c>
      <c r="B65" s="52"/>
      <c r="C65" s="232" t="str">
        <f>IF(B65&lt;&gt;"",VLOOKUP(B65,Items!$A$616:$X$640,15,FALSE),"")</f>
        <v/>
      </c>
      <c r="D65" s="232" t="str">
        <f>IF(B65&lt;&gt;"",VLOOKUP(B65,Items!$A$616:$X$640,16,FALSE),"")</f>
        <v/>
      </c>
      <c r="E65" s="13" t="str">
        <f>IF(B65&lt;&gt;"",VLOOKUP(B65,Items!$A$616:$X$640,17,FALSE),"")</f>
        <v/>
      </c>
      <c r="F65" s="127" t="str">
        <f>IF(B65&lt;&gt;"",IF(VLOOKUP(B65,Items!$A$616:$X$640,19,FALSE)&lt;&gt;0,VLOOKUP(B65,Items!$A$616:$X$640,19,FALSE),""),"")</f>
        <v/>
      </c>
      <c r="G65" s="161" t="str">
        <f>IF(B65&lt;&gt;"",IF(VLOOKUP(B65,Items!$A$616:$X$640,20,FALSE)&lt;&gt;0,VLOOKUP(B65,Items!$A$616:$X$640,20,FALSE),""),"")</f>
        <v/>
      </c>
      <c r="H65" s="9" t="str">
        <f>IF(B65&lt;&gt;"",IF(VLOOKUP(B65,Items!$A$616:$X$640,21,FALSE)&lt;&gt;0,VLOOKUP(B65,Items!$A$616:$X$640,21,FALSE),""),"")</f>
        <v/>
      </c>
      <c r="I65" s="88" t="str">
        <f>IF(B65&lt;&gt;"",IF(VLOOKUP(B65,Items!$A$616:$X$640,22,FALSE)&lt;&gt;0,VLOOKUP(B65,Items!$A$616:$X$640,22,FALSE),""),"")</f>
        <v/>
      </c>
      <c r="J65" s="9" t="str">
        <f>IF(B65&lt;&gt;"",IF(VLOOKUP(B65,Items!$A$616:$X$640,23,FALSE)&lt;&gt;0,VLOOKUP(B65,Items!$A$616:$X$640,23,FALSE),""),"")</f>
        <v/>
      </c>
      <c r="K65" s="1" t="str">
        <f>IF(B65&lt;&gt;"",IF(VLOOKUP(B65,Items!$A$616:$X$640,24,FALSE)&lt;&gt;0,VLOOKUP(B65,Items!$A$616:$X$640,24,FALSE),""),"")</f>
        <v/>
      </c>
      <c r="L65" s="88"/>
      <c r="M65" s="9"/>
      <c r="N65" s="9"/>
      <c r="O65" s="88"/>
      <c r="P65" s="127"/>
      <c r="Q65" s="1"/>
    </row>
    <row r="66" spans="1:17">
      <c r="A66" s="46" t="s">
        <v>633</v>
      </c>
      <c r="B66" s="100">
        <f>F66*100+C67+D67+E67+1</f>
        <v>1</v>
      </c>
      <c r="C66" s="232"/>
      <c r="D66" s="232"/>
      <c r="E66" s="41"/>
      <c r="F66" s="88">
        <v>0</v>
      </c>
      <c r="G66" s="9" t="str">
        <f>VLOOKUP(B37,Misc!$AA$38:$AE$46,2,FALSE)</f>
        <v>Barter</v>
      </c>
      <c r="H66" s="2" t="s">
        <v>572</v>
      </c>
      <c r="I66" s="88"/>
      <c r="J66" s="9"/>
      <c r="K66" s="1"/>
      <c r="L66" s="46"/>
      <c r="M66" s="232"/>
      <c r="N66" s="9"/>
      <c r="O66" s="145"/>
      <c r="P66" s="9"/>
      <c r="Q66" s="1"/>
    </row>
    <row r="67" spans="1:17">
      <c r="A67" s="46" t="s">
        <v>632</v>
      </c>
      <c r="C67" s="23">
        <v>0</v>
      </c>
      <c r="D67" s="23">
        <v>0</v>
      </c>
      <c r="E67" s="23">
        <v>0</v>
      </c>
      <c r="F67" s="86"/>
      <c r="G67" s="9"/>
      <c r="H67" s="9"/>
      <c r="I67" s="89"/>
      <c r="J67" s="9"/>
      <c r="K67" s="1"/>
      <c r="L67" s="319"/>
      <c r="M67" s="320"/>
      <c r="N67" s="142" t="s">
        <v>561</v>
      </c>
      <c r="O67" s="90" t="s">
        <v>562</v>
      </c>
      <c r="P67" s="91" t="s">
        <v>563</v>
      </c>
      <c r="Q67" s="144"/>
    </row>
    <row r="68" spans="1:17">
      <c r="A68" s="47" t="s">
        <v>634</v>
      </c>
      <c r="B68" s="9"/>
      <c r="C68" s="232">
        <f>C67*2+SUM(C38:C43)</f>
        <v>0</v>
      </c>
      <c r="D68" s="232">
        <f>D67*2+SUM(D38:D43)</f>
        <v>0</v>
      </c>
      <c r="E68" s="232">
        <f>E67*2+SUM(E38:E43)</f>
        <v>0</v>
      </c>
      <c r="F68" s="83" t="s">
        <v>818</v>
      </c>
      <c r="G68" s="120" t="str">
        <f>convertPercentage(F38:Q66,"Fight",IF(L67="",'Stats Scores'!$AP$2,L67))</f>
        <v>0%</v>
      </c>
      <c r="H68" s="53" t="s">
        <v>825</v>
      </c>
      <c r="I68" s="120" t="str">
        <f>convertPercentage(F38:Q66,"Barter",IF(L67="",'Stats Scores'!$AP$2,L67))</f>
        <v>0%</v>
      </c>
      <c r="J68" s="44" t="s">
        <v>827</v>
      </c>
      <c r="K68" s="123" t="str">
        <f>convertPercentage(F38:Q66,"Spy",IF(L67="",'Stats Scores'!$AP$2,L67))</f>
        <v>0%</v>
      </c>
      <c r="L68" s="321" t="s">
        <v>819</v>
      </c>
      <c r="M68" s="322"/>
      <c r="N68" s="95">
        <f>ROUNDUP(getscore(C70,G68,"Fight",L67),0)</f>
        <v>4</v>
      </c>
      <c r="O68" s="95">
        <f>ROUNDUP(getscore(D70,I68,"Barter",L67),0)</f>
        <v>14</v>
      </c>
      <c r="P68" s="82">
        <f>ROUNDUP(getscore(E70,K68,"Spy",L67),0)</f>
        <v>10</v>
      </c>
      <c r="Q68" s="143"/>
    </row>
    <row r="69" spans="1:17">
      <c r="B69" s="2"/>
      <c r="C69" s="232"/>
      <c r="D69" s="232"/>
      <c r="E69" s="232"/>
      <c r="F69" s="83" t="s">
        <v>753</v>
      </c>
      <c r="G69" s="121" t="str">
        <f>convertPercentage(F38:Q66,"Harass",IF(L67="",'Stats Scores'!$AP$2,L67))</f>
        <v>0%</v>
      </c>
      <c r="H69" s="2" t="s">
        <v>829</v>
      </c>
      <c r="I69" s="121" t="str">
        <f>convertPercentage(F38:Q66,"Swindle",IF(L67="",'Stats Scores'!$AP$2,L67))</f>
        <v>0%</v>
      </c>
      <c r="J69" s="9" t="s">
        <v>828</v>
      </c>
      <c r="K69" s="124" t="str">
        <f>convertPercentage(F38:Q66,"Sabotage",IF(L67="",'Stats Scores'!$AP$2,L67))</f>
        <v>0%</v>
      </c>
      <c r="L69" s="321" t="s">
        <v>820</v>
      </c>
      <c r="M69" s="322"/>
      <c r="N69" s="95">
        <f>ROUNDUP(getscore(C70,G69,"Harass",L67),0)</f>
        <v>4</v>
      </c>
      <c r="O69" s="95">
        <f>ROUNDUP(getscore(D70,I69,"Swindle",L67),0)</f>
        <v>14</v>
      </c>
      <c r="P69" s="82">
        <f>ROUNDUP(getscore(E70,K69,"Sabotage",L67),0)</f>
        <v>10</v>
      </c>
      <c r="Q69" s="143"/>
    </row>
    <row r="70" spans="1:17">
      <c r="A70" s="56" t="s">
        <v>635</v>
      </c>
      <c r="B70" s="20"/>
      <c r="C70" s="33">
        <f>C44+C45+C52+C59+C68</f>
        <v>0</v>
      </c>
      <c r="D70" s="33">
        <f t="shared" ref="D70:E70" si="1">D44+D45+D52+D59+D68</f>
        <v>1</v>
      </c>
      <c r="E70" s="33">
        <f t="shared" si="1"/>
        <v>0</v>
      </c>
      <c r="F70" s="84" t="s">
        <v>824</v>
      </c>
      <c r="G70" s="122" t="str">
        <f>convertPercentage(F38:Q66,"Aid",IF(L67="",'Stats Scores'!$AP$2,L67))</f>
        <v>0%</v>
      </c>
      <c r="H70" s="20" t="s">
        <v>826</v>
      </c>
      <c r="I70" s="122" t="str">
        <f>convertPercentage(F38:Q66,"Bribe",IF(L67="",'Stats Scores'!$AP$2,L67))</f>
        <v>0%</v>
      </c>
      <c r="J70" s="20" t="s">
        <v>830</v>
      </c>
      <c r="K70" s="125" t="str">
        <f>convertPercentage(F38:Q66,"Steal",IF(L67="",'Stats Scores'!$AP$2,L67))</f>
        <v>0%</v>
      </c>
      <c r="L70" s="317" t="s">
        <v>821</v>
      </c>
      <c r="M70" s="318"/>
      <c r="N70" s="131">
        <f>ROUNDUP(getscore(C70,G70,"Aid",L67),0)</f>
        <v>4</v>
      </c>
      <c r="O70" s="131">
        <f>ROUNDUP(getscore(D70,I70,"Bribe",L67),0)</f>
        <v>20</v>
      </c>
      <c r="P70" s="132">
        <f>ROUNDUP(getscore(E70,K70,"Steal",L67),0)</f>
        <v>10</v>
      </c>
      <c r="Q70" s="111"/>
    </row>
    <row r="72" spans="1:17" ht="16.5" customHeight="1">
      <c r="A72" s="314"/>
      <c r="B72" s="52"/>
      <c r="C72" s="308"/>
      <c r="D72" s="308"/>
      <c r="E72" s="308"/>
      <c r="F72" s="308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</row>
    <row r="73" spans="1:17">
      <c r="A73" s="99"/>
      <c r="B73" s="52"/>
      <c r="C73" s="308"/>
      <c r="D73" s="308"/>
      <c r="E73" s="308"/>
      <c r="F73" s="127"/>
      <c r="G73" s="161"/>
      <c r="H73" s="9"/>
      <c r="I73" s="127"/>
      <c r="J73" s="9"/>
      <c r="K73" s="9"/>
      <c r="L73" s="9"/>
      <c r="M73" s="9"/>
      <c r="N73" s="9"/>
      <c r="O73" s="9"/>
      <c r="P73" s="9"/>
      <c r="Q73" s="9"/>
    </row>
    <row r="74" spans="1:17">
      <c r="A74" s="99"/>
      <c r="B74" s="52"/>
      <c r="C74" s="308"/>
      <c r="D74" s="308"/>
      <c r="E74" s="308"/>
      <c r="F74" s="127"/>
      <c r="G74" s="161"/>
      <c r="H74" s="9"/>
      <c r="I74" s="127"/>
      <c r="J74" s="9"/>
      <c r="K74" s="9"/>
      <c r="L74" s="9"/>
      <c r="M74" s="9"/>
      <c r="N74" s="9"/>
      <c r="O74" s="9"/>
      <c r="P74" s="9"/>
      <c r="Q74" s="9"/>
    </row>
    <row r="75" spans="1:17">
      <c r="A75" s="99"/>
      <c r="B75" s="52"/>
      <c r="C75" s="308"/>
      <c r="D75" s="308"/>
      <c r="E75" s="308"/>
      <c r="F75" s="127"/>
      <c r="G75" s="161"/>
      <c r="H75" s="9"/>
      <c r="I75" s="127"/>
      <c r="J75" s="9"/>
      <c r="K75" s="9"/>
      <c r="L75" s="9"/>
      <c r="M75" s="9"/>
      <c r="N75" s="9"/>
      <c r="O75" s="9"/>
      <c r="P75" s="9"/>
      <c r="Q75" s="9"/>
    </row>
    <row r="76" spans="1:17">
      <c r="A76" s="99"/>
      <c r="B76" s="52"/>
      <c r="C76" s="308"/>
      <c r="D76" s="308"/>
      <c r="E76" s="308"/>
      <c r="F76" s="127"/>
      <c r="G76" s="161"/>
      <c r="H76" s="9"/>
      <c r="I76" s="127"/>
      <c r="J76" s="9"/>
      <c r="K76" s="9"/>
      <c r="L76" s="9"/>
      <c r="M76" s="9"/>
      <c r="N76" s="9"/>
      <c r="O76" s="9"/>
      <c r="P76" s="9"/>
      <c r="Q76" s="9"/>
    </row>
    <row r="77" spans="1:17">
      <c r="A77" s="99"/>
      <c r="B77" s="52"/>
      <c r="C77" s="308"/>
      <c r="D77" s="308"/>
      <c r="E77" s="308"/>
      <c r="F77" s="127"/>
      <c r="G77" s="161"/>
      <c r="H77" s="9"/>
      <c r="I77" s="127"/>
      <c r="J77" s="9"/>
      <c r="K77" s="9"/>
      <c r="L77" s="9"/>
      <c r="M77" s="9"/>
      <c r="N77" s="9"/>
      <c r="O77" s="9"/>
      <c r="P77" s="9"/>
      <c r="Q77" s="9"/>
    </row>
    <row r="78" spans="1:17">
      <c r="A78" s="99"/>
      <c r="B78" s="52"/>
      <c r="C78" s="308"/>
      <c r="D78" s="308"/>
      <c r="E78" s="308"/>
      <c r="F78" s="127"/>
      <c r="G78" s="161"/>
      <c r="H78" s="9"/>
      <c r="I78" s="127"/>
      <c r="J78" s="9"/>
      <c r="K78" s="9"/>
      <c r="L78" s="9"/>
      <c r="M78" s="9"/>
      <c r="N78" s="9"/>
      <c r="O78" s="9"/>
      <c r="P78" s="9"/>
      <c r="Q78" s="9"/>
    </row>
    <row r="79" spans="1:17">
      <c r="A79" s="9"/>
      <c r="B79" s="52"/>
      <c r="C79" s="308"/>
      <c r="D79" s="308"/>
      <c r="E79" s="308"/>
      <c r="F79" s="127"/>
      <c r="G79" s="9"/>
      <c r="H79" s="9"/>
      <c r="I79" s="9"/>
      <c r="J79" s="9"/>
      <c r="K79" s="9"/>
      <c r="L79" s="9"/>
      <c r="M79" s="308"/>
      <c r="N79" s="9"/>
      <c r="O79" s="127"/>
      <c r="P79" s="308"/>
      <c r="Q79" s="9"/>
    </row>
    <row r="80" spans="1:17">
      <c r="A80" s="9"/>
      <c r="B80" s="19"/>
      <c r="C80" s="308"/>
      <c r="D80" s="308"/>
      <c r="E80" s="308"/>
      <c r="F80" s="127"/>
      <c r="G80" s="118"/>
      <c r="H80" s="9"/>
      <c r="I80" s="127"/>
      <c r="J80" s="161"/>
      <c r="K80" s="9"/>
      <c r="L80" s="127"/>
      <c r="M80" s="9"/>
      <c r="N80" s="9"/>
      <c r="O80" s="127"/>
      <c r="P80" s="127"/>
      <c r="Q80" s="9"/>
    </row>
    <row r="81" spans="1:17">
      <c r="A81" s="99"/>
      <c r="B81" s="9"/>
      <c r="C81" s="308"/>
      <c r="D81" s="308"/>
      <c r="E81" s="308"/>
      <c r="F81" s="127"/>
      <c r="G81" s="161"/>
      <c r="H81" s="9"/>
      <c r="I81" s="127"/>
      <c r="J81" s="9"/>
      <c r="K81" s="9"/>
      <c r="L81" s="127"/>
      <c r="M81" s="9"/>
      <c r="N81" s="9"/>
      <c r="O81" s="127"/>
      <c r="P81" s="127"/>
      <c r="Q81" s="9"/>
    </row>
    <row r="82" spans="1:17">
      <c r="A82" s="99"/>
      <c r="B82" s="9"/>
      <c r="C82" s="308"/>
      <c r="D82" s="308"/>
      <c r="E82" s="308"/>
      <c r="F82" s="127"/>
      <c r="G82" s="161"/>
      <c r="H82" s="9"/>
      <c r="I82" s="127"/>
      <c r="J82" s="9"/>
      <c r="K82" s="9"/>
      <c r="L82" s="127"/>
      <c r="M82" s="9"/>
      <c r="N82" s="9"/>
      <c r="O82" s="127"/>
      <c r="P82" s="127"/>
      <c r="Q82" s="9"/>
    </row>
    <row r="83" spans="1:17">
      <c r="A83" s="99"/>
      <c r="B83" s="52"/>
      <c r="C83" s="308"/>
      <c r="D83" s="308"/>
      <c r="E83" s="308"/>
      <c r="F83" s="127"/>
      <c r="G83" s="161"/>
      <c r="H83" s="9"/>
      <c r="I83" s="127"/>
      <c r="J83" s="9"/>
      <c r="K83" s="9"/>
      <c r="L83" s="127"/>
      <c r="M83" s="9"/>
      <c r="N83" s="9"/>
      <c r="O83" s="127"/>
      <c r="P83" s="127"/>
      <c r="Q83" s="9"/>
    </row>
    <row r="84" spans="1:17">
      <c r="A84" s="99"/>
      <c r="B84" s="52"/>
      <c r="C84" s="308"/>
      <c r="D84" s="308"/>
      <c r="E84" s="308"/>
      <c r="F84" s="127"/>
      <c r="G84" s="161"/>
      <c r="H84" s="9"/>
      <c r="I84" s="127"/>
      <c r="J84" s="9"/>
      <c r="K84" s="9"/>
      <c r="L84" s="127"/>
      <c r="M84" s="9"/>
      <c r="N84" s="9"/>
      <c r="O84" s="127"/>
      <c r="P84" s="127"/>
      <c r="Q84" s="9"/>
    </row>
    <row r="85" spans="1:17">
      <c r="A85" s="99"/>
      <c r="B85" s="52"/>
      <c r="C85" s="308"/>
      <c r="D85" s="308"/>
      <c r="E85" s="308"/>
      <c r="F85" s="127"/>
      <c r="G85" s="161"/>
      <c r="H85" s="9"/>
      <c r="I85" s="127"/>
      <c r="J85" s="9"/>
      <c r="K85" s="9"/>
      <c r="L85" s="127"/>
      <c r="M85" s="9"/>
      <c r="N85" s="9"/>
      <c r="O85" s="127"/>
      <c r="P85" s="127"/>
      <c r="Q85" s="9"/>
    </row>
    <row r="86" spans="1:17">
      <c r="A86" s="99"/>
      <c r="B86" s="52"/>
      <c r="C86" s="308"/>
      <c r="D86" s="308"/>
      <c r="E86" s="308"/>
      <c r="F86" s="127"/>
      <c r="G86" s="161"/>
      <c r="H86" s="9"/>
      <c r="I86" s="127"/>
      <c r="J86" s="9"/>
      <c r="K86" s="9"/>
      <c r="L86" s="127"/>
      <c r="M86" s="9"/>
      <c r="N86" s="9"/>
      <c r="O86" s="127"/>
      <c r="P86" s="127"/>
      <c r="Q86" s="9"/>
    </row>
    <row r="87" spans="1:17">
      <c r="A87" s="9"/>
      <c r="B87" s="25"/>
      <c r="C87" s="308"/>
      <c r="D87" s="308"/>
      <c r="E87" s="308"/>
      <c r="F87" s="127"/>
      <c r="G87" s="118"/>
      <c r="H87" s="9"/>
      <c r="I87" s="127"/>
      <c r="J87" s="161"/>
      <c r="K87" s="9"/>
      <c r="L87" s="127"/>
      <c r="M87" s="9"/>
      <c r="N87" s="9"/>
      <c r="O87" s="127"/>
      <c r="P87" s="127"/>
      <c r="Q87" s="9"/>
    </row>
    <row r="88" spans="1:17">
      <c r="A88" s="99"/>
      <c r="B88" s="52"/>
      <c r="C88" s="308"/>
      <c r="D88" s="308"/>
      <c r="E88" s="308"/>
      <c r="F88" s="127"/>
      <c r="G88" s="161"/>
      <c r="H88" s="9"/>
      <c r="I88" s="127"/>
      <c r="J88" s="9"/>
      <c r="K88" s="9"/>
      <c r="L88" s="127"/>
      <c r="M88" s="9"/>
      <c r="N88" s="9"/>
      <c r="O88" s="127"/>
      <c r="P88" s="127"/>
      <c r="Q88" s="9"/>
    </row>
    <row r="89" spans="1:17">
      <c r="A89" s="99"/>
      <c r="B89" s="52"/>
      <c r="C89" s="308"/>
      <c r="D89" s="308"/>
      <c r="E89" s="308"/>
      <c r="F89" s="127"/>
      <c r="G89" s="161"/>
      <c r="H89" s="9"/>
      <c r="I89" s="127"/>
      <c r="J89" s="9"/>
      <c r="K89" s="9"/>
      <c r="L89" s="127"/>
      <c r="M89" s="9"/>
      <c r="N89" s="9"/>
      <c r="O89" s="127"/>
      <c r="P89" s="127"/>
      <c r="Q89" s="9"/>
    </row>
    <row r="90" spans="1:17">
      <c r="A90" s="99"/>
      <c r="B90" s="52"/>
      <c r="C90" s="308"/>
      <c r="D90" s="308"/>
      <c r="E90" s="308"/>
      <c r="F90" s="127"/>
      <c r="G90" s="161"/>
      <c r="H90" s="9"/>
      <c r="I90" s="127"/>
      <c r="J90" s="9"/>
      <c r="K90" s="9"/>
      <c r="L90" s="127"/>
      <c r="M90" s="9"/>
      <c r="N90" s="9"/>
      <c r="O90" s="127"/>
      <c r="P90" s="127"/>
      <c r="Q90" s="9"/>
    </row>
    <row r="91" spans="1:17">
      <c r="A91" s="99"/>
      <c r="B91" s="52"/>
      <c r="C91" s="308"/>
      <c r="D91" s="308"/>
      <c r="E91" s="308"/>
      <c r="F91" s="127"/>
      <c r="G91" s="161"/>
      <c r="H91" s="9"/>
      <c r="I91" s="127"/>
      <c r="J91" s="9"/>
      <c r="K91" s="9"/>
      <c r="L91" s="127"/>
      <c r="M91" s="9"/>
      <c r="N91" s="9"/>
      <c r="O91" s="127"/>
      <c r="P91" s="127"/>
      <c r="Q91" s="9"/>
    </row>
    <row r="92" spans="1:17">
      <c r="A92" s="99"/>
      <c r="B92" s="52"/>
      <c r="C92" s="308"/>
      <c r="D92" s="308"/>
      <c r="E92" s="308"/>
      <c r="F92" s="127"/>
      <c r="G92" s="161"/>
      <c r="H92" s="9"/>
      <c r="I92" s="127"/>
      <c r="J92" s="9"/>
      <c r="K92" s="9"/>
      <c r="L92" s="127"/>
      <c r="M92" s="9"/>
      <c r="N92" s="9"/>
      <c r="O92" s="127"/>
      <c r="P92" s="127"/>
      <c r="Q92" s="9"/>
    </row>
    <row r="93" spans="1:17">
      <c r="A93" s="99"/>
      <c r="B93" s="52"/>
      <c r="C93" s="308"/>
      <c r="D93" s="308"/>
      <c r="E93" s="308"/>
      <c r="F93" s="127"/>
      <c r="G93" s="161"/>
      <c r="H93" s="9"/>
      <c r="I93" s="127"/>
      <c r="J93" s="9"/>
      <c r="K93" s="9"/>
      <c r="L93" s="127"/>
      <c r="M93" s="9"/>
      <c r="N93" s="9"/>
      <c r="O93" s="127"/>
      <c r="P93" s="127"/>
      <c r="Q93" s="9"/>
    </row>
    <row r="94" spans="1:17">
      <c r="A94" s="2"/>
      <c r="B94" s="19"/>
      <c r="C94" s="308"/>
      <c r="D94" s="308"/>
      <c r="E94" s="308"/>
      <c r="F94" s="127"/>
      <c r="G94" s="118"/>
      <c r="H94" s="9"/>
      <c r="I94" s="127"/>
      <c r="J94" s="161"/>
      <c r="K94" s="9"/>
      <c r="L94" s="127"/>
      <c r="M94" s="9"/>
      <c r="N94" s="9"/>
      <c r="O94" s="127"/>
      <c r="P94" s="127"/>
      <c r="Q94" s="9"/>
    </row>
    <row r="95" spans="1:17">
      <c r="A95" s="99"/>
      <c r="B95" s="52"/>
      <c r="C95" s="308"/>
      <c r="D95" s="308"/>
      <c r="E95" s="308"/>
      <c r="F95" s="127"/>
      <c r="G95" s="161"/>
      <c r="H95" s="9"/>
      <c r="I95" s="127"/>
      <c r="J95" s="9"/>
      <c r="K95" s="9"/>
      <c r="L95" s="127"/>
      <c r="M95" s="9"/>
      <c r="N95" s="9"/>
      <c r="O95" s="127"/>
      <c r="P95" s="127"/>
      <c r="Q95" s="9"/>
    </row>
    <row r="96" spans="1:17">
      <c r="A96" s="99"/>
      <c r="B96" s="52"/>
      <c r="C96" s="308"/>
      <c r="D96" s="308"/>
      <c r="E96" s="308"/>
      <c r="F96" s="127"/>
      <c r="G96" s="161"/>
      <c r="H96" s="9"/>
      <c r="I96" s="127"/>
      <c r="J96" s="9"/>
      <c r="K96" s="9"/>
      <c r="L96" s="127"/>
      <c r="M96" s="9"/>
      <c r="N96" s="9"/>
      <c r="O96" s="127"/>
      <c r="P96" s="127"/>
      <c r="Q96" s="9"/>
    </row>
    <row r="97" spans="1:17">
      <c r="A97" s="99"/>
      <c r="B97" s="52"/>
      <c r="C97" s="308"/>
      <c r="D97" s="308"/>
      <c r="E97" s="308"/>
      <c r="F97" s="127"/>
      <c r="G97" s="161"/>
      <c r="H97" s="9"/>
      <c r="I97" s="127"/>
      <c r="J97" s="9"/>
      <c r="K97" s="9"/>
      <c r="L97" s="127"/>
      <c r="M97" s="9"/>
      <c r="N97" s="9"/>
      <c r="O97" s="127"/>
      <c r="P97" s="127"/>
      <c r="Q97" s="9"/>
    </row>
    <row r="98" spans="1:17">
      <c r="A98" s="99"/>
      <c r="B98" s="52"/>
      <c r="C98" s="308"/>
      <c r="D98" s="308"/>
      <c r="E98" s="308"/>
      <c r="F98" s="127"/>
      <c r="G98" s="161"/>
      <c r="H98" s="9"/>
      <c r="I98" s="127"/>
      <c r="J98" s="9"/>
      <c r="K98" s="9"/>
      <c r="L98" s="127"/>
      <c r="M98" s="9"/>
      <c r="N98" s="9"/>
      <c r="O98" s="127"/>
      <c r="P98" s="127"/>
      <c r="Q98" s="9"/>
    </row>
    <row r="99" spans="1:17">
      <c r="A99" s="99"/>
      <c r="B99" s="52"/>
      <c r="C99" s="308"/>
      <c r="D99" s="308"/>
      <c r="E99" s="308"/>
      <c r="F99" s="127"/>
      <c r="G99" s="161"/>
      <c r="H99" s="9"/>
      <c r="I99" s="127"/>
      <c r="J99" s="9"/>
      <c r="K99" s="9"/>
      <c r="L99" s="127"/>
      <c r="M99" s="9"/>
      <c r="N99" s="9"/>
      <c r="O99" s="127"/>
      <c r="P99" s="127"/>
      <c r="Q99" s="9"/>
    </row>
    <row r="100" spans="1:17">
      <c r="A100" s="99"/>
      <c r="B100" s="52"/>
      <c r="C100" s="308"/>
      <c r="D100" s="308"/>
      <c r="E100" s="308"/>
      <c r="F100" s="127"/>
      <c r="G100" s="161"/>
      <c r="H100" s="9"/>
      <c r="I100" s="127"/>
      <c r="J100" s="9"/>
      <c r="K100" s="9"/>
      <c r="L100" s="127"/>
      <c r="M100" s="9"/>
      <c r="N100" s="9"/>
      <c r="O100" s="127"/>
      <c r="P100" s="127"/>
      <c r="Q100" s="9"/>
    </row>
    <row r="101" spans="1:17">
      <c r="A101" s="9"/>
      <c r="B101" s="100"/>
      <c r="C101" s="308"/>
      <c r="D101" s="308"/>
      <c r="E101" s="41"/>
      <c r="F101" s="127"/>
      <c r="G101" s="9"/>
      <c r="H101" s="2"/>
      <c r="I101" s="127"/>
      <c r="J101" s="9"/>
      <c r="K101" s="9"/>
      <c r="L101" s="9"/>
      <c r="M101" s="308"/>
      <c r="N101" s="9"/>
      <c r="O101" s="127"/>
      <c r="P101" s="9"/>
      <c r="Q101" s="9"/>
    </row>
    <row r="102" spans="1:17">
      <c r="A102" s="9"/>
      <c r="B102" s="9"/>
      <c r="C102" s="23"/>
      <c r="D102" s="23"/>
      <c r="E102" s="23"/>
      <c r="F102" s="308"/>
      <c r="G102" s="9"/>
      <c r="H102" s="9"/>
      <c r="I102" s="9"/>
      <c r="J102" s="9"/>
      <c r="K102" s="9"/>
      <c r="L102" s="330"/>
      <c r="M102" s="330"/>
      <c r="N102" s="23"/>
      <c r="O102" s="23"/>
      <c r="P102" s="23"/>
      <c r="Q102" s="9"/>
    </row>
    <row r="103" spans="1:17">
      <c r="A103" s="2"/>
      <c r="B103" s="9"/>
      <c r="C103" s="308"/>
      <c r="D103" s="308"/>
      <c r="E103" s="308"/>
      <c r="F103" s="31"/>
      <c r="G103" s="121"/>
      <c r="H103" s="2"/>
      <c r="I103" s="121"/>
      <c r="J103" s="9"/>
      <c r="K103" s="121"/>
      <c r="L103" s="322"/>
      <c r="M103" s="322"/>
      <c r="N103" s="95"/>
      <c r="O103" s="95"/>
      <c r="P103" s="95"/>
      <c r="Q103" s="9"/>
    </row>
    <row r="104" spans="1:17">
      <c r="A104" s="9"/>
      <c r="B104" s="2"/>
      <c r="C104" s="308"/>
      <c r="D104" s="308"/>
      <c r="E104" s="308"/>
      <c r="F104" s="31"/>
      <c r="G104" s="121"/>
      <c r="H104" s="2"/>
      <c r="I104" s="121"/>
      <c r="J104" s="9"/>
      <c r="K104" s="121"/>
      <c r="L104" s="322"/>
      <c r="M104" s="322"/>
      <c r="N104" s="95"/>
      <c r="O104" s="95"/>
      <c r="P104" s="95"/>
      <c r="Q104" s="9"/>
    </row>
    <row r="105" spans="1:17">
      <c r="A105" s="77"/>
      <c r="B105" s="9"/>
      <c r="C105" s="308"/>
      <c r="D105" s="308"/>
      <c r="E105" s="308"/>
      <c r="F105" s="31"/>
      <c r="G105" s="121"/>
      <c r="H105" s="9"/>
      <c r="I105" s="121"/>
      <c r="J105" s="9"/>
      <c r="K105" s="121"/>
      <c r="L105" s="322"/>
      <c r="M105" s="322"/>
      <c r="N105" s="95"/>
      <c r="O105" s="95"/>
      <c r="P105" s="95"/>
      <c r="Q105" s="9"/>
    </row>
    <row r="106" spans="1:17">
      <c r="A106" s="197"/>
      <c r="B106" s="9"/>
      <c r="C106" s="232"/>
      <c r="D106" s="232"/>
      <c r="E106" s="232"/>
      <c r="F106" s="31"/>
      <c r="G106" s="121"/>
      <c r="H106" s="9"/>
      <c r="I106" s="121"/>
      <c r="J106" s="9"/>
      <c r="K106" s="121"/>
      <c r="L106" s="231"/>
      <c r="M106" s="231"/>
      <c r="N106" s="95"/>
      <c r="O106" s="95"/>
      <c r="P106" s="95"/>
      <c r="Q106" s="9"/>
    </row>
    <row r="107" spans="1:17" ht="15" customHeight="1">
      <c r="A107" s="172"/>
      <c r="B107" s="52"/>
      <c r="C107" s="232"/>
      <c r="D107" s="232"/>
      <c r="E107" s="232"/>
      <c r="F107" s="232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</row>
    <row r="108" spans="1:17" ht="15" customHeight="1">
      <c r="A108" s="172"/>
      <c r="B108" s="52"/>
      <c r="C108" s="232"/>
      <c r="D108" s="232"/>
      <c r="E108" s="232"/>
      <c r="F108" s="127"/>
      <c r="G108" s="161"/>
      <c r="H108" s="9"/>
      <c r="I108" s="127"/>
      <c r="J108" s="9"/>
      <c r="K108" s="9"/>
      <c r="L108" s="9"/>
      <c r="M108" s="9"/>
      <c r="N108" s="9"/>
      <c r="O108" s="9"/>
      <c r="P108" s="9"/>
      <c r="Q108" s="9"/>
    </row>
    <row r="109" spans="1:17" ht="15" customHeight="1">
      <c r="A109" s="172"/>
      <c r="B109" s="52"/>
      <c r="C109" s="232"/>
      <c r="D109" s="232"/>
      <c r="E109" s="232"/>
      <c r="F109" s="127"/>
      <c r="G109" s="161"/>
      <c r="H109" s="9"/>
      <c r="I109" s="127"/>
      <c r="J109" s="9"/>
      <c r="K109" s="9"/>
      <c r="L109" s="9"/>
      <c r="M109" s="9"/>
      <c r="N109" s="9"/>
      <c r="O109" s="9"/>
      <c r="P109" s="9"/>
      <c r="Q109" s="9"/>
    </row>
    <row r="110" spans="1:17" ht="15" customHeight="1">
      <c r="A110" s="172"/>
      <c r="B110" s="52"/>
      <c r="C110" s="232"/>
      <c r="D110" s="232"/>
      <c r="E110" s="232"/>
      <c r="F110" s="127"/>
      <c r="G110" s="161"/>
      <c r="H110" s="9"/>
      <c r="I110" s="127"/>
      <c r="J110" s="9"/>
      <c r="K110" s="9"/>
      <c r="L110" s="9"/>
      <c r="M110" s="9"/>
      <c r="N110" s="9"/>
      <c r="O110" s="9"/>
      <c r="P110" s="9"/>
      <c r="Q110" s="9"/>
    </row>
    <row r="111" spans="1:17" ht="15" customHeight="1">
      <c r="A111" s="172"/>
      <c r="B111" s="52"/>
      <c r="C111" s="232"/>
      <c r="D111" s="232"/>
      <c r="E111" s="232"/>
      <c r="F111" s="127"/>
      <c r="G111" s="161"/>
      <c r="H111" s="9"/>
      <c r="I111" s="127"/>
      <c r="J111" s="9"/>
      <c r="K111" s="9"/>
      <c r="L111" s="9"/>
      <c r="M111" s="9"/>
      <c r="N111" s="9"/>
      <c r="O111" s="9"/>
      <c r="P111" s="9"/>
      <c r="Q111" s="9"/>
    </row>
    <row r="112" spans="1:17" ht="15" customHeight="1">
      <c r="A112" s="172"/>
      <c r="B112" s="52"/>
      <c r="C112" s="232"/>
      <c r="D112" s="232"/>
      <c r="E112" s="232"/>
      <c r="F112" s="127"/>
      <c r="G112" s="161"/>
      <c r="H112" s="9"/>
      <c r="I112" s="127"/>
      <c r="J112" s="9"/>
      <c r="K112" s="9"/>
      <c r="L112" s="9"/>
      <c r="M112" s="9"/>
      <c r="N112" s="9"/>
      <c r="O112" s="9"/>
      <c r="P112" s="9"/>
      <c r="Q112" s="9"/>
    </row>
    <row r="113" spans="1:17" ht="15" customHeight="1">
      <c r="A113" s="172"/>
      <c r="B113" s="52"/>
      <c r="C113" s="232"/>
      <c r="D113" s="232"/>
      <c r="E113" s="232"/>
      <c r="F113" s="127"/>
      <c r="G113" s="161"/>
      <c r="H113" s="9"/>
      <c r="I113" s="127"/>
      <c r="J113" s="9"/>
      <c r="K113" s="9"/>
      <c r="L113" s="9"/>
      <c r="M113" s="9"/>
      <c r="N113" s="9"/>
      <c r="O113" s="9"/>
      <c r="P113" s="9"/>
      <c r="Q113" s="9"/>
    </row>
    <row r="114" spans="1:17" ht="15" customHeight="1">
      <c r="B114" s="52"/>
      <c r="C114" s="232"/>
      <c r="D114" s="232"/>
      <c r="E114" s="232"/>
      <c r="F114" s="127"/>
      <c r="G114" s="9"/>
      <c r="H114" s="9"/>
      <c r="I114" s="9"/>
      <c r="J114" s="9"/>
      <c r="K114" s="9"/>
      <c r="L114" s="9"/>
      <c r="M114" s="232"/>
      <c r="N114" s="9"/>
      <c r="O114" s="127"/>
      <c r="P114" s="232"/>
      <c r="Q114" s="9"/>
    </row>
    <row r="115" spans="1:17">
      <c r="B115" s="52"/>
      <c r="C115" s="232"/>
      <c r="D115" s="232"/>
      <c r="E115" s="232"/>
      <c r="F115" s="127"/>
      <c r="G115" s="118"/>
      <c r="H115" s="9"/>
      <c r="I115" s="127"/>
      <c r="J115" s="161"/>
      <c r="K115" s="9"/>
      <c r="L115" s="127"/>
      <c r="M115" s="9"/>
      <c r="N115" s="9"/>
      <c r="O115" s="127"/>
      <c r="P115" s="127"/>
      <c r="Q115" s="9"/>
    </row>
    <row r="116" spans="1:17">
      <c r="A116" s="172"/>
      <c r="B116" s="9"/>
      <c r="C116" s="232"/>
      <c r="D116" s="232"/>
      <c r="E116" s="232"/>
      <c r="F116" s="127"/>
      <c r="G116" s="161"/>
      <c r="H116" s="9"/>
      <c r="I116" s="127"/>
      <c r="J116" s="9"/>
      <c r="K116" s="9"/>
      <c r="L116" s="127"/>
      <c r="M116" s="9"/>
      <c r="N116" s="9"/>
      <c r="O116" s="127"/>
      <c r="P116" s="127"/>
      <c r="Q116" s="9"/>
    </row>
    <row r="117" spans="1:17" ht="15" customHeight="1">
      <c r="A117" s="172"/>
      <c r="B117" s="9"/>
      <c r="C117" s="232"/>
      <c r="D117" s="232"/>
      <c r="E117" s="232"/>
      <c r="F117" s="127"/>
      <c r="G117" s="161"/>
      <c r="H117" s="9"/>
      <c r="I117" s="127"/>
      <c r="J117" s="9"/>
      <c r="K117" s="9"/>
      <c r="L117" s="127"/>
      <c r="M117" s="9"/>
      <c r="N117" s="9"/>
      <c r="O117" s="127"/>
      <c r="P117" s="127"/>
      <c r="Q117" s="9"/>
    </row>
    <row r="118" spans="1:17" ht="15" customHeight="1">
      <c r="A118" s="172"/>
      <c r="B118" s="52"/>
      <c r="C118" s="232"/>
      <c r="D118" s="232"/>
      <c r="E118" s="232"/>
      <c r="F118" s="127"/>
      <c r="G118" s="161"/>
      <c r="H118" s="9"/>
      <c r="I118" s="127"/>
      <c r="J118" s="9"/>
      <c r="K118" s="9"/>
      <c r="L118" s="127"/>
      <c r="M118" s="9"/>
      <c r="N118" s="9"/>
      <c r="O118" s="127"/>
      <c r="P118" s="127"/>
      <c r="Q118" s="9"/>
    </row>
    <row r="119" spans="1:17" ht="15" customHeight="1">
      <c r="A119" s="172"/>
      <c r="B119" s="52"/>
      <c r="C119" s="232"/>
      <c r="D119" s="232"/>
      <c r="E119" s="232"/>
      <c r="F119" s="127"/>
      <c r="G119" s="161"/>
      <c r="H119" s="9"/>
      <c r="I119" s="127"/>
      <c r="J119" s="9"/>
      <c r="K119" s="9"/>
      <c r="L119" s="127"/>
      <c r="M119" s="9"/>
      <c r="N119" s="9"/>
      <c r="O119" s="127"/>
      <c r="P119" s="127"/>
      <c r="Q119" s="9"/>
    </row>
    <row r="120" spans="1:17" ht="15" customHeight="1">
      <c r="A120" s="172"/>
      <c r="B120" s="52"/>
      <c r="C120" s="232"/>
      <c r="D120" s="232"/>
      <c r="E120" s="232"/>
      <c r="F120" s="127"/>
      <c r="G120" s="161"/>
      <c r="H120" s="9"/>
      <c r="I120" s="127"/>
      <c r="J120" s="9"/>
      <c r="K120" s="9"/>
      <c r="L120" s="127"/>
      <c r="M120" s="9"/>
      <c r="N120" s="9"/>
      <c r="O120" s="127"/>
      <c r="P120" s="127"/>
      <c r="Q120" s="9"/>
    </row>
    <row r="121" spans="1:17" ht="15" customHeight="1">
      <c r="A121" s="172"/>
      <c r="B121" s="52"/>
      <c r="C121" s="232"/>
      <c r="D121" s="232"/>
      <c r="E121" s="232"/>
      <c r="F121" s="127"/>
      <c r="G121" s="161"/>
      <c r="H121" s="9"/>
      <c r="I121" s="127"/>
      <c r="J121" s="9"/>
      <c r="K121" s="9"/>
      <c r="L121" s="127"/>
      <c r="M121" s="9"/>
      <c r="N121" s="9"/>
      <c r="O121" s="127"/>
      <c r="P121" s="127"/>
      <c r="Q121" s="9"/>
    </row>
    <row r="122" spans="1:17" ht="15" customHeight="1">
      <c r="B122" s="52"/>
      <c r="C122" s="232"/>
      <c r="D122" s="232"/>
      <c r="E122" s="232"/>
      <c r="F122" s="127"/>
      <c r="G122" s="118"/>
      <c r="H122" s="9"/>
      <c r="I122" s="127"/>
      <c r="J122" s="161"/>
      <c r="K122" s="9"/>
      <c r="L122" s="127"/>
      <c r="M122" s="9"/>
      <c r="N122" s="9"/>
      <c r="O122" s="127"/>
      <c r="P122" s="127"/>
      <c r="Q122" s="9"/>
    </row>
    <row r="123" spans="1:17">
      <c r="A123" s="172"/>
      <c r="B123" s="52"/>
      <c r="C123" s="232"/>
      <c r="D123" s="232"/>
      <c r="E123" s="232"/>
      <c r="F123" s="127"/>
      <c r="G123" s="161"/>
      <c r="H123" s="9"/>
      <c r="I123" s="127"/>
      <c r="J123" s="9"/>
      <c r="K123" s="9"/>
      <c r="L123" s="127"/>
      <c r="M123" s="9"/>
      <c r="N123" s="9"/>
      <c r="O123" s="127"/>
      <c r="P123" s="127"/>
      <c r="Q123" s="9"/>
    </row>
    <row r="124" spans="1:17" ht="15" customHeight="1">
      <c r="A124" s="172"/>
      <c r="B124" s="52"/>
      <c r="C124" s="232"/>
      <c r="D124" s="232"/>
      <c r="E124" s="232"/>
      <c r="F124" s="127"/>
      <c r="G124" s="161"/>
      <c r="H124" s="9"/>
      <c r="I124" s="127"/>
      <c r="J124" s="9"/>
      <c r="K124" s="9"/>
      <c r="L124" s="127"/>
      <c r="M124" s="9"/>
      <c r="N124" s="9"/>
      <c r="O124" s="127"/>
      <c r="P124" s="127"/>
      <c r="Q124" s="9"/>
    </row>
    <row r="125" spans="1:17" ht="15" customHeight="1">
      <c r="A125" s="172"/>
      <c r="B125" s="52"/>
      <c r="C125" s="232"/>
      <c r="D125" s="232"/>
      <c r="E125" s="232"/>
      <c r="F125" s="127"/>
      <c r="G125" s="161"/>
      <c r="H125" s="9"/>
      <c r="I125" s="127"/>
      <c r="J125" s="9"/>
      <c r="K125" s="9"/>
      <c r="L125" s="127"/>
      <c r="M125" s="9"/>
      <c r="N125" s="9"/>
      <c r="O125" s="127"/>
      <c r="P125" s="127"/>
      <c r="Q125" s="9"/>
    </row>
    <row r="126" spans="1:17" ht="15" customHeight="1">
      <c r="A126" s="172"/>
      <c r="B126" s="52"/>
      <c r="C126" s="232"/>
      <c r="D126" s="232"/>
      <c r="E126" s="232"/>
      <c r="F126" s="127"/>
      <c r="G126" s="161"/>
      <c r="H126" s="9"/>
      <c r="I126" s="127"/>
      <c r="J126" s="9"/>
      <c r="K126" s="9"/>
      <c r="L126" s="127"/>
      <c r="M126" s="9"/>
      <c r="N126" s="9"/>
      <c r="O126" s="127"/>
      <c r="P126" s="127"/>
      <c r="Q126" s="9"/>
    </row>
    <row r="127" spans="1:17" ht="15" customHeight="1">
      <c r="A127" s="172"/>
      <c r="B127" s="52"/>
      <c r="C127" s="232"/>
      <c r="D127" s="232"/>
      <c r="E127" s="232"/>
      <c r="F127" s="127"/>
      <c r="G127" s="161"/>
      <c r="H127" s="9"/>
      <c r="I127" s="127"/>
      <c r="J127" s="9"/>
      <c r="K127" s="9"/>
      <c r="L127" s="127"/>
      <c r="M127" s="9"/>
      <c r="N127" s="9"/>
      <c r="O127" s="127"/>
      <c r="P127" s="127"/>
      <c r="Q127" s="9"/>
    </row>
    <row r="128" spans="1:17" ht="15" customHeight="1">
      <c r="A128" s="172"/>
      <c r="B128" s="52"/>
      <c r="C128" s="232"/>
      <c r="D128" s="232"/>
      <c r="E128" s="232"/>
      <c r="F128" s="127"/>
      <c r="G128" s="161"/>
      <c r="H128" s="9"/>
      <c r="I128" s="127"/>
      <c r="J128" s="9"/>
      <c r="K128" s="9"/>
      <c r="L128" s="127"/>
      <c r="M128" s="9"/>
      <c r="N128" s="9"/>
      <c r="O128" s="127"/>
      <c r="P128" s="127"/>
      <c r="Q128" s="9"/>
    </row>
    <row r="129" spans="1:17" ht="15" customHeight="1">
      <c r="A129" s="47"/>
      <c r="B129" s="52"/>
      <c r="C129" s="232"/>
      <c r="D129" s="232"/>
      <c r="E129" s="232"/>
      <c r="F129" s="127"/>
      <c r="G129" s="118"/>
      <c r="H129" s="9"/>
      <c r="I129" s="127"/>
      <c r="J129" s="161"/>
      <c r="K129" s="9"/>
      <c r="L129" s="127"/>
      <c r="M129" s="9"/>
      <c r="N129" s="9"/>
      <c r="O129" s="127"/>
      <c r="P129" s="127"/>
      <c r="Q129" s="9"/>
    </row>
    <row r="130" spans="1:17">
      <c r="A130" s="172"/>
      <c r="B130" s="52"/>
      <c r="C130" s="232"/>
      <c r="D130" s="232"/>
      <c r="E130" s="232"/>
      <c r="F130" s="127"/>
      <c r="G130" s="161"/>
      <c r="H130" s="9"/>
      <c r="I130" s="127"/>
      <c r="J130" s="9"/>
      <c r="K130" s="9"/>
      <c r="L130" s="127"/>
      <c r="M130" s="9"/>
      <c r="N130" s="9"/>
      <c r="O130" s="127"/>
      <c r="P130" s="127"/>
      <c r="Q130" s="9"/>
    </row>
    <row r="131" spans="1:17" ht="15" customHeight="1">
      <c r="A131" s="172"/>
      <c r="B131" s="52"/>
      <c r="C131" s="232"/>
      <c r="D131" s="232"/>
      <c r="E131" s="232"/>
      <c r="F131" s="127"/>
      <c r="G131" s="161"/>
      <c r="H131" s="9"/>
      <c r="I131" s="127"/>
      <c r="J131" s="9"/>
      <c r="K131" s="9"/>
      <c r="L131" s="127"/>
      <c r="M131" s="9"/>
      <c r="N131" s="9"/>
      <c r="O131" s="127"/>
      <c r="P131" s="127"/>
      <c r="Q131" s="9"/>
    </row>
    <row r="132" spans="1:17" ht="15" customHeight="1">
      <c r="A132" s="172"/>
      <c r="B132" s="52"/>
      <c r="C132" s="232"/>
      <c r="D132" s="232"/>
      <c r="E132" s="232"/>
      <c r="F132" s="127"/>
      <c r="G132" s="161"/>
      <c r="H132" s="9"/>
      <c r="I132" s="127"/>
      <c r="J132" s="9"/>
      <c r="K132" s="9"/>
      <c r="L132" s="127"/>
      <c r="M132" s="9"/>
      <c r="N132" s="9"/>
      <c r="O132" s="127"/>
      <c r="P132" s="127"/>
      <c r="Q132" s="9"/>
    </row>
    <row r="133" spans="1:17" ht="15" customHeight="1">
      <c r="A133" s="172"/>
      <c r="B133" s="52"/>
      <c r="C133" s="232"/>
      <c r="D133" s="232"/>
      <c r="E133" s="232"/>
      <c r="F133" s="127"/>
      <c r="G133" s="161"/>
      <c r="H133" s="9"/>
      <c r="I133" s="127"/>
      <c r="J133" s="9"/>
      <c r="K133" s="9"/>
      <c r="L133" s="127"/>
      <c r="M133" s="9"/>
      <c r="N133" s="9"/>
      <c r="O133" s="127"/>
      <c r="P133" s="127"/>
      <c r="Q133" s="9"/>
    </row>
    <row r="134" spans="1:17" ht="15" customHeight="1">
      <c r="A134" s="172"/>
      <c r="B134" s="52"/>
      <c r="C134" s="232"/>
      <c r="D134" s="232"/>
      <c r="E134" s="232"/>
      <c r="F134" s="127"/>
      <c r="G134" s="161"/>
      <c r="H134" s="9"/>
      <c r="I134" s="127"/>
      <c r="J134" s="9"/>
      <c r="K134" s="9"/>
      <c r="L134" s="127"/>
      <c r="M134" s="9"/>
      <c r="N134" s="9"/>
      <c r="O134" s="127"/>
      <c r="P134" s="127"/>
      <c r="Q134" s="9"/>
    </row>
    <row r="135" spans="1:17" ht="15" customHeight="1">
      <c r="A135" s="172"/>
      <c r="B135" s="52"/>
      <c r="C135" s="232"/>
      <c r="D135" s="232"/>
      <c r="E135" s="232"/>
      <c r="F135" s="127"/>
      <c r="G135" s="161"/>
      <c r="H135" s="9"/>
      <c r="I135" s="127"/>
      <c r="J135" s="9"/>
      <c r="K135" s="9"/>
      <c r="L135" s="127"/>
      <c r="M135" s="9"/>
      <c r="N135" s="9"/>
      <c r="O135" s="127"/>
      <c r="P135" s="127"/>
      <c r="Q135" s="9"/>
    </row>
    <row r="136" spans="1:17" ht="15" customHeight="1">
      <c r="B136" s="100"/>
      <c r="C136" s="232"/>
      <c r="D136" s="232"/>
      <c r="E136" s="41"/>
      <c r="F136" s="127"/>
      <c r="G136" s="9"/>
      <c r="H136" s="2"/>
      <c r="I136" s="127"/>
      <c r="J136" s="9"/>
      <c r="K136" s="9"/>
      <c r="L136" s="9"/>
      <c r="M136" s="232"/>
      <c r="N136" s="9"/>
      <c r="O136" s="127"/>
      <c r="P136" s="9"/>
      <c r="Q136" s="9"/>
    </row>
    <row r="137" spans="1:17">
      <c r="B137" s="9"/>
      <c r="C137" s="23"/>
      <c r="D137" s="23"/>
      <c r="E137" s="23"/>
      <c r="F137" s="232"/>
      <c r="G137" s="9"/>
      <c r="H137" s="9"/>
      <c r="I137" s="9"/>
      <c r="J137" s="9"/>
      <c r="K137" s="9"/>
      <c r="L137" s="330"/>
      <c r="M137" s="330"/>
      <c r="N137" s="23"/>
      <c r="O137" s="23"/>
      <c r="P137" s="23"/>
      <c r="Q137" s="9"/>
    </row>
    <row r="138" spans="1:17">
      <c r="A138" s="47"/>
      <c r="B138" s="9"/>
      <c r="C138" s="232"/>
      <c r="D138" s="232"/>
      <c r="E138" s="232"/>
      <c r="F138" s="31"/>
      <c r="G138" s="121"/>
      <c r="H138" s="2"/>
      <c r="I138" s="121"/>
      <c r="J138" s="9"/>
      <c r="K138" s="121"/>
      <c r="L138" s="322"/>
      <c r="M138" s="322"/>
      <c r="N138" s="95"/>
      <c r="O138" s="95"/>
      <c r="P138" s="95"/>
      <c r="Q138" s="9"/>
    </row>
    <row r="139" spans="1:17">
      <c r="B139" s="2"/>
      <c r="C139" s="232"/>
      <c r="D139" s="232"/>
      <c r="E139" s="232"/>
      <c r="F139" s="31"/>
      <c r="G139" s="121"/>
      <c r="H139" s="2"/>
      <c r="I139" s="121"/>
      <c r="J139" s="9"/>
      <c r="K139" s="121"/>
      <c r="L139" s="322"/>
      <c r="M139" s="322"/>
      <c r="N139" s="95"/>
      <c r="O139" s="95"/>
      <c r="P139" s="95"/>
      <c r="Q139" s="9"/>
    </row>
    <row r="140" spans="1:17">
      <c r="A140" s="197"/>
      <c r="B140" s="9"/>
      <c r="C140" s="232"/>
      <c r="D140" s="232"/>
      <c r="E140" s="232"/>
      <c r="F140" s="31"/>
      <c r="G140" s="121"/>
      <c r="H140" s="9"/>
      <c r="I140" s="121"/>
      <c r="J140" s="9"/>
      <c r="K140" s="121"/>
      <c r="L140" s="322"/>
      <c r="M140" s="322"/>
      <c r="N140" s="95"/>
      <c r="O140" s="95"/>
      <c r="P140" s="95"/>
      <c r="Q140" s="9"/>
    </row>
    <row r="141" spans="1:17">
      <c r="A141" s="197"/>
      <c r="B141" s="9"/>
      <c r="C141" s="232"/>
      <c r="D141" s="232"/>
      <c r="E141" s="232"/>
      <c r="F141" s="31"/>
      <c r="G141" s="121"/>
      <c r="H141" s="9"/>
      <c r="I141" s="121"/>
      <c r="J141" s="9"/>
      <c r="K141" s="121"/>
      <c r="L141" s="322"/>
      <c r="M141" s="322"/>
      <c r="N141" s="95"/>
      <c r="O141" s="95"/>
      <c r="P141" s="95"/>
      <c r="Q141" s="9"/>
    </row>
    <row r="142" spans="1:17">
      <c r="B142" s="9"/>
      <c r="C142" s="9"/>
      <c r="D142" s="9"/>
      <c r="E142" s="9"/>
      <c r="F142" s="9"/>
      <c r="G142" s="9"/>
      <c r="H142" s="9"/>
      <c r="I142" s="9"/>
      <c r="J142" s="9"/>
      <c r="K142" s="9"/>
      <c r="L142" s="9"/>
      <c r="M142" s="9"/>
      <c r="N142" s="9"/>
      <c r="O142" s="9"/>
      <c r="P142" s="9"/>
      <c r="Q142" s="9"/>
    </row>
    <row r="143" spans="1:17" ht="15" customHeight="1">
      <c r="A143" s="172"/>
      <c r="B143" s="52"/>
      <c r="C143" s="232"/>
      <c r="D143" s="232"/>
      <c r="E143" s="232"/>
      <c r="F143" s="232"/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</row>
    <row r="144" spans="1:17">
      <c r="A144" s="172"/>
      <c r="B144" s="52"/>
      <c r="C144" s="232"/>
      <c r="D144" s="232"/>
      <c r="E144" s="232"/>
      <c r="F144" s="127"/>
      <c r="G144" s="161"/>
      <c r="H144" s="9"/>
      <c r="I144" s="127"/>
      <c r="J144" s="9"/>
      <c r="K144" s="9"/>
      <c r="L144" s="9"/>
      <c r="M144" s="9"/>
      <c r="N144" s="9"/>
      <c r="O144" s="9"/>
      <c r="P144" s="9"/>
      <c r="Q144" s="9"/>
    </row>
    <row r="145" spans="1:17">
      <c r="A145" s="172"/>
      <c r="B145" s="52"/>
      <c r="C145" s="232"/>
      <c r="D145" s="232"/>
      <c r="E145" s="232"/>
      <c r="F145" s="127"/>
      <c r="G145" s="161"/>
      <c r="H145" s="9"/>
      <c r="I145" s="127"/>
      <c r="J145" s="9"/>
      <c r="K145" s="9"/>
      <c r="L145" s="9"/>
      <c r="M145" s="9"/>
      <c r="N145" s="9"/>
      <c r="O145" s="9"/>
      <c r="P145" s="9"/>
      <c r="Q145" s="9"/>
    </row>
    <row r="146" spans="1:17">
      <c r="A146" s="172"/>
      <c r="B146" s="52"/>
      <c r="C146" s="232"/>
      <c r="D146" s="232"/>
      <c r="E146" s="232"/>
      <c r="F146" s="127"/>
      <c r="G146" s="161"/>
      <c r="H146" s="9"/>
      <c r="I146" s="127"/>
      <c r="J146" s="9"/>
      <c r="K146" s="9"/>
      <c r="L146" s="9"/>
      <c r="M146" s="9"/>
      <c r="N146" s="9"/>
      <c r="O146" s="9"/>
      <c r="P146" s="9"/>
      <c r="Q146" s="9"/>
    </row>
    <row r="147" spans="1:17">
      <c r="A147" s="172"/>
      <c r="B147" s="52"/>
      <c r="C147" s="232"/>
      <c r="D147" s="232"/>
      <c r="E147" s="232"/>
      <c r="F147" s="127"/>
      <c r="G147" s="161"/>
      <c r="H147" s="9"/>
      <c r="I147" s="127"/>
      <c r="J147" s="9"/>
      <c r="K147" s="9"/>
      <c r="L147" s="9"/>
      <c r="M147" s="9"/>
      <c r="N147" s="9"/>
      <c r="O147" s="9"/>
      <c r="P147" s="9"/>
      <c r="Q147" s="9"/>
    </row>
    <row r="148" spans="1:17">
      <c r="A148" s="172"/>
      <c r="B148" s="52"/>
      <c r="C148" s="232"/>
      <c r="D148" s="232"/>
      <c r="E148" s="232"/>
      <c r="F148" s="127"/>
      <c r="G148" s="161"/>
      <c r="H148" s="9"/>
      <c r="I148" s="127"/>
      <c r="J148" s="9"/>
      <c r="K148" s="9"/>
      <c r="L148" s="9"/>
      <c r="M148" s="9"/>
      <c r="N148" s="9"/>
      <c r="O148" s="9"/>
      <c r="P148" s="9"/>
      <c r="Q148" s="9"/>
    </row>
    <row r="149" spans="1:17">
      <c r="A149" s="172"/>
      <c r="B149" s="52"/>
      <c r="C149" s="232"/>
      <c r="D149" s="232"/>
      <c r="E149" s="232"/>
      <c r="F149" s="127"/>
      <c r="G149" s="161"/>
      <c r="H149" s="9"/>
      <c r="I149" s="127"/>
      <c r="J149" s="9"/>
      <c r="K149" s="9"/>
      <c r="L149" s="9"/>
      <c r="M149" s="9"/>
      <c r="N149" s="9"/>
      <c r="O149" s="9"/>
      <c r="P149" s="9"/>
      <c r="Q149" s="9"/>
    </row>
    <row r="150" spans="1:17">
      <c r="B150" s="52"/>
      <c r="C150" s="232"/>
      <c r="D150" s="232"/>
      <c r="E150" s="232"/>
      <c r="F150" s="127"/>
      <c r="G150" s="9"/>
      <c r="H150" s="9"/>
      <c r="I150" s="9"/>
      <c r="J150" s="9"/>
      <c r="K150" s="9"/>
      <c r="L150" s="9"/>
      <c r="M150" s="232"/>
      <c r="N150" s="9"/>
      <c r="O150" s="127"/>
      <c r="P150" s="232"/>
      <c r="Q150" s="9"/>
    </row>
    <row r="151" spans="1:17">
      <c r="B151" s="52"/>
      <c r="C151" s="232"/>
      <c r="D151" s="232"/>
      <c r="E151" s="232"/>
      <c r="F151" s="127"/>
      <c r="G151" s="118"/>
      <c r="H151" s="9"/>
      <c r="I151" s="127"/>
      <c r="J151" s="161"/>
      <c r="K151" s="9"/>
      <c r="L151" s="127"/>
      <c r="M151" s="9"/>
      <c r="N151" s="9"/>
      <c r="O151" s="127"/>
      <c r="P151" s="127"/>
      <c r="Q151" s="9"/>
    </row>
    <row r="152" spans="1:17">
      <c r="A152" s="172"/>
      <c r="B152" s="9"/>
      <c r="C152" s="232"/>
      <c r="D152" s="232"/>
      <c r="E152" s="232"/>
      <c r="F152" s="127"/>
      <c r="G152" s="161"/>
      <c r="H152" s="9"/>
      <c r="I152" s="127"/>
      <c r="J152" s="9"/>
      <c r="K152" s="9"/>
      <c r="L152" s="127"/>
      <c r="M152" s="9"/>
      <c r="N152" s="9"/>
      <c r="O152" s="127"/>
      <c r="P152" s="127"/>
      <c r="Q152" s="9"/>
    </row>
    <row r="153" spans="1:17">
      <c r="A153" s="172"/>
      <c r="B153" s="9"/>
      <c r="C153" s="232"/>
      <c r="D153" s="232"/>
      <c r="E153" s="232"/>
      <c r="F153" s="127"/>
      <c r="G153" s="161"/>
      <c r="H153" s="9"/>
      <c r="I153" s="127"/>
      <c r="J153" s="9"/>
      <c r="K153" s="9"/>
      <c r="L153" s="127"/>
      <c r="M153" s="9"/>
      <c r="N153" s="9"/>
      <c r="O153" s="127"/>
      <c r="P153" s="127"/>
      <c r="Q153" s="9"/>
    </row>
    <row r="154" spans="1:17">
      <c r="A154" s="172"/>
      <c r="B154" s="52"/>
      <c r="C154" s="232"/>
      <c r="D154" s="232"/>
      <c r="E154" s="232"/>
      <c r="F154" s="127"/>
      <c r="G154" s="161"/>
      <c r="H154" s="9"/>
      <c r="I154" s="127"/>
      <c r="J154" s="9"/>
      <c r="K154" s="9"/>
      <c r="L154" s="127"/>
      <c r="M154" s="9"/>
      <c r="N154" s="9"/>
      <c r="O154" s="127"/>
      <c r="P154" s="127"/>
      <c r="Q154" s="9"/>
    </row>
    <row r="155" spans="1:17">
      <c r="A155" s="172"/>
      <c r="B155" s="52"/>
      <c r="C155" s="232"/>
      <c r="D155" s="232"/>
      <c r="E155" s="232"/>
      <c r="F155" s="127"/>
      <c r="G155" s="161"/>
      <c r="H155" s="9"/>
      <c r="I155" s="127"/>
      <c r="J155" s="9"/>
      <c r="K155" s="9"/>
      <c r="L155" s="127"/>
      <c r="M155" s="9"/>
      <c r="N155" s="9"/>
      <c r="O155" s="127"/>
      <c r="P155" s="127"/>
      <c r="Q155" s="9"/>
    </row>
    <row r="156" spans="1:17">
      <c r="A156" s="172"/>
      <c r="B156" s="52"/>
      <c r="C156" s="232"/>
      <c r="D156" s="232"/>
      <c r="E156" s="232"/>
      <c r="F156" s="127"/>
      <c r="G156" s="161"/>
      <c r="H156" s="9"/>
      <c r="I156" s="127"/>
      <c r="J156" s="9"/>
      <c r="K156" s="9"/>
      <c r="L156" s="127"/>
      <c r="M156" s="9"/>
      <c r="N156" s="9"/>
      <c r="O156" s="127"/>
      <c r="P156" s="127"/>
      <c r="Q156" s="9"/>
    </row>
    <row r="157" spans="1:17">
      <c r="A157" s="172"/>
      <c r="B157" s="52"/>
      <c r="C157" s="232"/>
      <c r="D157" s="232"/>
      <c r="E157" s="232"/>
      <c r="F157" s="127"/>
      <c r="G157" s="161"/>
      <c r="H157" s="9"/>
      <c r="I157" s="127"/>
      <c r="J157" s="9"/>
      <c r="K157" s="9"/>
      <c r="L157" s="127"/>
      <c r="M157" s="9"/>
      <c r="N157" s="9"/>
      <c r="O157" s="127"/>
      <c r="P157" s="127"/>
      <c r="Q157" s="9"/>
    </row>
    <row r="158" spans="1:17">
      <c r="B158" s="52"/>
      <c r="C158" s="232"/>
      <c r="D158" s="232"/>
      <c r="E158" s="232"/>
      <c r="F158" s="127"/>
      <c r="G158" s="118"/>
      <c r="H158" s="9"/>
      <c r="I158" s="127"/>
      <c r="J158" s="161"/>
      <c r="K158" s="9"/>
      <c r="L158" s="127"/>
      <c r="M158" s="9"/>
      <c r="N158" s="9"/>
      <c r="O158" s="127"/>
      <c r="P158" s="127"/>
      <c r="Q158" s="9"/>
    </row>
    <row r="159" spans="1:17">
      <c r="A159" s="172"/>
      <c r="B159" s="52"/>
      <c r="C159" s="232"/>
      <c r="D159" s="232"/>
      <c r="E159" s="232"/>
      <c r="F159" s="127"/>
      <c r="G159" s="161"/>
      <c r="H159" s="9"/>
      <c r="I159" s="127"/>
      <c r="J159" s="9"/>
      <c r="K159" s="9"/>
      <c r="L159" s="127"/>
      <c r="M159" s="9"/>
      <c r="N159" s="9"/>
      <c r="O159" s="127"/>
      <c r="P159" s="127"/>
      <c r="Q159" s="9"/>
    </row>
    <row r="160" spans="1:17">
      <c r="A160" s="172"/>
      <c r="B160" s="52"/>
      <c r="C160" s="232"/>
      <c r="D160" s="232"/>
      <c r="E160" s="232"/>
      <c r="F160" s="127"/>
      <c r="G160" s="161"/>
      <c r="H160" s="9"/>
      <c r="I160" s="127"/>
      <c r="J160" s="9"/>
      <c r="K160" s="9"/>
      <c r="L160" s="127"/>
      <c r="M160" s="9"/>
      <c r="N160" s="9"/>
      <c r="O160" s="127"/>
      <c r="P160" s="127"/>
      <c r="Q160" s="9"/>
    </row>
    <row r="161" spans="1:17">
      <c r="A161" s="172"/>
      <c r="B161" s="52"/>
      <c r="C161" s="232"/>
      <c r="D161" s="232"/>
      <c r="E161" s="232"/>
      <c r="F161" s="127"/>
      <c r="G161" s="161"/>
      <c r="H161" s="9"/>
      <c r="I161" s="127"/>
      <c r="J161" s="9"/>
      <c r="K161" s="9"/>
      <c r="L161" s="127"/>
      <c r="M161" s="9"/>
      <c r="N161" s="9"/>
      <c r="O161" s="127"/>
      <c r="P161" s="127"/>
      <c r="Q161" s="9"/>
    </row>
    <row r="162" spans="1:17">
      <c r="A162" s="172"/>
      <c r="B162" s="52"/>
      <c r="C162" s="232"/>
      <c r="D162" s="232"/>
      <c r="E162" s="232"/>
      <c r="F162" s="127"/>
      <c r="G162" s="161"/>
      <c r="H162" s="9"/>
      <c r="I162" s="127"/>
      <c r="J162" s="9"/>
      <c r="K162" s="9"/>
      <c r="L162" s="127"/>
      <c r="M162" s="9"/>
      <c r="N162" s="9"/>
      <c r="O162" s="127"/>
      <c r="P162" s="127"/>
      <c r="Q162" s="9"/>
    </row>
    <row r="163" spans="1:17">
      <c r="A163" s="172"/>
      <c r="B163" s="52"/>
      <c r="C163" s="232"/>
      <c r="D163" s="232"/>
      <c r="E163" s="232"/>
      <c r="F163" s="127"/>
      <c r="G163" s="161"/>
      <c r="H163" s="9"/>
      <c r="I163" s="127"/>
      <c r="J163" s="9"/>
      <c r="K163" s="9"/>
      <c r="L163" s="127"/>
      <c r="M163" s="9"/>
      <c r="N163" s="9"/>
      <c r="O163" s="127"/>
      <c r="P163" s="127"/>
      <c r="Q163" s="9"/>
    </row>
    <row r="164" spans="1:17">
      <c r="A164" s="172"/>
      <c r="B164" s="52"/>
      <c r="C164" s="232"/>
      <c r="D164" s="232"/>
      <c r="E164" s="232"/>
      <c r="F164" s="127"/>
      <c r="G164" s="161"/>
      <c r="H164" s="9"/>
      <c r="I164" s="127"/>
      <c r="J164" s="9"/>
      <c r="K164" s="9"/>
      <c r="L164" s="127"/>
      <c r="M164" s="9"/>
      <c r="N164" s="9"/>
      <c r="O164" s="127"/>
      <c r="P164" s="127"/>
      <c r="Q164" s="9"/>
    </row>
    <row r="165" spans="1:17">
      <c r="A165" s="47"/>
      <c r="B165" s="52"/>
      <c r="C165" s="232"/>
      <c r="D165" s="232"/>
      <c r="E165" s="232"/>
      <c r="F165" s="127"/>
      <c r="G165" s="118"/>
      <c r="H165" s="9"/>
      <c r="I165" s="127"/>
      <c r="J165" s="161"/>
      <c r="K165" s="9"/>
      <c r="L165" s="127"/>
      <c r="M165" s="9"/>
      <c r="N165" s="9"/>
      <c r="O165" s="127"/>
      <c r="P165" s="127"/>
      <c r="Q165" s="9"/>
    </row>
    <row r="166" spans="1:17">
      <c r="A166" s="172"/>
      <c r="B166" s="52"/>
      <c r="C166" s="232"/>
      <c r="D166" s="232"/>
      <c r="E166" s="232"/>
      <c r="F166" s="127"/>
      <c r="G166" s="161"/>
      <c r="H166" s="9"/>
      <c r="I166" s="127"/>
      <c r="J166" s="9"/>
      <c r="K166" s="9"/>
      <c r="L166" s="127"/>
      <c r="M166" s="9"/>
      <c r="N166" s="9"/>
      <c r="O166" s="127"/>
      <c r="P166" s="127"/>
      <c r="Q166" s="9"/>
    </row>
    <row r="167" spans="1:17">
      <c r="A167" s="172"/>
      <c r="B167" s="52"/>
      <c r="C167" s="232"/>
      <c r="D167" s="232"/>
      <c r="E167" s="232"/>
      <c r="F167" s="127"/>
      <c r="G167" s="161"/>
      <c r="H167" s="9"/>
      <c r="I167" s="127"/>
      <c r="J167" s="9"/>
      <c r="K167" s="9"/>
      <c r="L167" s="127"/>
      <c r="M167" s="9"/>
      <c r="N167" s="9"/>
      <c r="O167" s="127"/>
      <c r="P167" s="127"/>
      <c r="Q167" s="9"/>
    </row>
    <row r="168" spans="1:17">
      <c r="A168" s="172"/>
      <c r="B168" s="52"/>
      <c r="C168" s="232"/>
      <c r="D168" s="232"/>
      <c r="E168" s="232"/>
      <c r="F168" s="127"/>
      <c r="G168" s="161"/>
      <c r="H168" s="9"/>
      <c r="I168" s="127"/>
      <c r="J168" s="9"/>
      <c r="K168" s="9"/>
      <c r="L168" s="127"/>
      <c r="M168" s="9"/>
      <c r="N168" s="9"/>
      <c r="O168" s="127"/>
      <c r="P168" s="127"/>
      <c r="Q168" s="9"/>
    </row>
    <row r="169" spans="1:17">
      <c r="A169" s="172"/>
      <c r="B169" s="52"/>
      <c r="C169" s="232"/>
      <c r="D169" s="232"/>
      <c r="E169" s="232"/>
      <c r="F169" s="127"/>
      <c r="G169" s="161"/>
      <c r="H169" s="9"/>
      <c r="I169" s="127"/>
      <c r="J169" s="9"/>
      <c r="K169" s="9"/>
      <c r="L169" s="127"/>
      <c r="M169" s="9"/>
      <c r="N169" s="9"/>
      <c r="O169" s="127"/>
      <c r="P169" s="127"/>
      <c r="Q169" s="9"/>
    </row>
    <row r="170" spans="1:17">
      <c r="A170" s="172"/>
      <c r="B170" s="52"/>
      <c r="C170" s="232"/>
      <c r="D170" s="232"/>
      <c r="E170" s="232"/>
      <c r="F170" s="127"/>
      <c r="G170" s="161"/>
      <c r="H170" s="9"/>
      <c r="I170" s="127"/>
      <c r="J170" s="9"/>
      <c r="K170" s="9"/>
      <c r="L170" s="127"/>
      <c r="M170" s="9"/>
      <c r="N170" s="9"/>
      <c r="O170" s="127"/>
      <c r="P170" s="127"/>
      <c r="Q170" s="9"/>
    </row>
    <row r="171" spans="1:17">
      <c r="A171" s="172"/>
      <c r="B171" s="52"/>
      <c r="C171" s="232"/>
      <c r="D171" s="232"/>
      <c r="E171" s="232"/>
      <c r="F171" s="127"/>
      <c r="G171" s="161"/>
      <c r="H171" s="9"/>
      <c r="I171" s="127"/>
      <c r="J171" s="9"/>
      <c r="K171" s="9"/>
      <c r="L171" s="127"/>
      <c r="M171" s="9"/>
      <c r="N171" s="9"/>
      <c r="O171" s="127"/>
      <c r="P171" s="127"/>
      <c r="Q171" s="9"/>
    </row>
    <row r="172" spans="1:17">
      <c r="B172" s="100"/>
      <c r="C172" s="232"/>
      <c r="D172" s="232"/>
      <c r="E172" s="41"/>
      <c r="F172" s="127"/>
      <c r="G172" s="9"/>
      <c r="H172" s="2"/>
      <c r="I172" s="127"/>
      <c r="J172" s="9"/>
      <c r="K172" s="9"/>
      <c r="L172" s="9"/>
      <c r="M172" s="232"/>
      <c r="N172" s="9"/>
      <c r="O172" s="127"/>
      <c r="P172" s="9"/>
      <c r="Q172" s="9"/>
    </row>
    <row r="173" spans="1:17">
      <c r="B173" s="9"/>
      <c r="C173" s="23"/>
      <c r="D173" s="23"/>
      <c r="E173" s="23"/>
      <c r="F173" s="232"/>
      <c r="G173" s="9"/>
      <c r="H173" s="9"/>
      <c r="I173" s="9"/>
      <c r="J173" s="9"/>
      <c r="K173" s="9"/>
      <c r="L173" s="330"/>
      <c r="M173" s="330"/>
      <c r="N173" s="23"/>
      <c r="O173" s="23"/>
      <c r="P173" s="23"/>
      <c r="Q173" s="9"/>
    </row>
    <row r="174" spans="1:17">
      <c r="A174" s="47"/>
      <c r="B174" s="9"/>
      <c r="C174" s="232"/>
      <c r="D174" s="232"/>
      <c r="E174" s="232"/>
      <c r="F174" s="31"/>
      <c r="G174" s="121"/>
      <c r="H174" s="2"/>
      <c r="I174" s="121"/>
      <c r="J174" s="9"/>
      <c r="K174" s="121"/>
      <c r="L174" s="322"/>
      <c r="M174" s="322"/>
      <c r="N174" s="95"/>
      <c r="O174" s="95"/>
      <c r="P174" s="95"/>
      <c r="Q174" s="9"/>
    </row>
    <row r="175" spans="1:17">
      <c r="B175" s="2"/>
      <c r="C175" s="232"/>
      <c r="D175" s="232"/>
      <c r="E175" s="232"/>
      <c r="F175" s="31"/>
      <c r="G175" s="121"/>
      <c r="H175" s="2"/>
      <c r="I175" s="121"/>
      <c r="J175" s="9"/>
      <c r="K175" s="121"/>
      <c r="L175" s="322"/>
      <c r="M175" s="322"/>
      <c r="N175" s="95"/>
      <c r="O175" s="95"/>
      <c r="P175" s="95"/>
      <c r="Q175" s="9"/>
    </row>
    <row r="176" spans="1:17">
      <c r="A176" s="197"/>
      <c r="B176" s="9"/>
      <c r="C176" s="232"/>
      <c r="D176" s="232"/>
      <c r="E176" s="232"/>
      <c r="F176" s="31"/>
      <c r="G176" s="121"/>
      <c r="H176" s="9"/>
      <c r="I176" s="121"/>
      <c r="J176" s="9"/>
      <c r="K176" s="121"/>
      <c r="L176" s="322"/>
      <c r="M176" s="322"/>
      <c r="N176" s="95"/>
      <c r="O176" s="95"/>
      <c r="P176" s="95"/>
      <c r="Q176" s="9"/>
    </row>
  </sheetData>
  <mergeCells count="21">
    <mergeCell ref="L138:M138"/>
    <mergeCell ref="L139:M139"/>
    <mergeCell ref="L140:M140"/>
    <mergeCell ref="L105:M105"/>
    <mergeCell ref="L32:M32"/>
    <mergeCell ref="L33:M33"/>
    <mergeCell ref="L34:M34"/>
    <mergeCell ref="L35:M35"/>
    <mergeCell ref="L67:M67"/>
    <mergeCell ref="L68:M68"/>
    <mergeCell ref="L69:M69"/>
    <mergeCell ref="L70:M70"/>
    <mergeCell ref="L102:M102"/>
    <mergeCell ref="L103:M103"/>
    <mergeCell ref="L104:M104"/>
    <mergeCell ref="L137:M137"/>
    <mergeCell ref="L173:M173"/>
    <mergeCell ref="L174:M174"/>
    <mergeCell ref="L175:M175"/>
    <mergeCell ref="L176:M176"/>
    <mergeCell ref="L141:M141"/>
  </mergeCells>
  <conditionalFormatting sqref="P9:P23 N9">
    <cfRule type="colorScale" priority="120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32:N34">
    <cfRule type="colorScale" priority="119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P9:P23">
    <cfRule type="colorScale" priority="118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O25:P30">
    <cfRule type="colorScale" priority="117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60:N70 N33:N44 P33:P70 O33:O36 O67:O70">
    <cfRule type="colorScale" priority="116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P44:P58 N44">
    <cfRule type="colorScale" priority="115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67:N69">
    <cfRule type="colorScale" priority="114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P44:P58">
    <cfRule type="colorScale" priority="113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P60:P65">
    <cfRule type="colorScale" priority="112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P24">
    <cfRule type="colorScale" priority="111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P45:P58">
    <cfRule type="colorScale" priority="110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P59">
    <cfRule type="colorScale" priority="109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P79:P93 N79">
    <cfRule type="colorScale" priority="107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102:N104">
    <cfRule type="colorScale" priority="106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P79:P93">
    <cfRule type="colorScale" priority="105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P95:P100">
    <cfRule type="colorScale" priority="104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P80:P93">
    <cfRule type="colorScale" priority="103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P94">
    <cfRule type="colorScale" priority="102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P80">
    <cfRule type="colorScale" priority="101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P87">
    <cfRule type="colorScale" priority="100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95:N100 N73:N79 P73:P100">
    <cfRule type="colorScale" priority="99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33:N34">
    <cfRule type="colorScale" priority="58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33:P35">
    <cfRule type="colorScale" priority="57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68:N69">
    <cfRule type="colorScale" priority="56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68:P70">
    <cfRule type="colorScale" priority="55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103:N104">
    <cfRule type="colorScale" priority="54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103:P105">
    <cfRule type="colorScale" priority="53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138">
    <cfRule type="colorScale" priority="36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139:P141">
    <cfRule type="colorScale" priority="35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108:P141">
    <cfRule type="colorScale" priority="34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139:N140">
    <cfRule type="colorScale" priority="33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139:P141">
    <cfRule type="colorScale" priority="32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138">
    <cfRule type="colorScale" priority="31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139:P141">
    <cfRule type="colorScale" priority="30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108:P141">
    <cfRule type="colorScale" priority="29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139:N140">
    <cfRule type="colorScale" priority="28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139:P141">
    <cfRule type="colorScale" priority="27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138">
    <cfRule type="colorScale" priority="26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139:P141">
    <cfRule type="colorScale" priority="25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108:P141">
    <cfRule type="colorScale" priority="24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139:N140">
    <cfRule type="colorScale" priority="23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139:P141">
    <cfRule type="colorScale" priority="22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173">
    <cfRule type="colorScale" priority="21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174:P176">
    <cfRule type="colorScale" priority="20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143:P176">
    <cfRule type="colorScale" priority="19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174:N175">
    <cfRule type="colorScale" priority="18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174:P176">
    <cfRule type="colorScale" priority="17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138">
    <cfRule type="colorScale" priority="16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139:P141">
    <cfRule type="colorScale" priority="15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108:P141">
    <cfRule type="colorScale" priority="14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139:N140">
    <cfRule type="colorScale" priority="13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139:P141">
    <cfRule type="colorScale" priority="12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72:N79 O102:O106 P72:P106 N95:N106 N107:P107">
    <cfRule type="colorScale" priority="170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137">
    <cfRule type="colorScale" priority="11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138:P140">
    <cfRule type="colorScale" priority="10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107:P140">
    <cfRule type="colorScale" priority="9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138:N139">
    <cfRule type="colorScale" priority="8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138:P140">
    <cfRule type="colorScale" priority="7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33:N34">
    <cfRule type="colorScale" priority="6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33:P35">
    <cfRule type="colorScale" priority="5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68:N69">
    <cfRule type="colorScale" priority="4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68:P70">
    <cfRule type="colorScale" priority="3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103:N104">
    <cfRule type="colorScale" priority="2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103:P105">
    <cfRule type="colorScale" priority="1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ignoredErrors>
    <ignoredError sqref="F18:K24 F60:K65 F67:K67 G66:K66 F17:K17 F52:K59 C66:E66 E67 C60:E65 C10:E31 C68:E71 C67 C106:E106 C45:E59 C33:E43 C32 E32" formula="1"/>
  </ignoredErrors>
  <legacyDrawing r:id="rId2"/>
  <controls>
    <control shapeId="10241" r:id="rId3" name="cmdHide"/>
    <control shapeId="10242" r:id="rId4" name="cmdHide2"/>
  </control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6"/>
  <dimension ref="A1:R141"/>
  <sheetViews>
    <sheetView zoomScale="115" zoomScaleNormal="115" workbookViewId="0">
      <pane ySplit="1" topLeftCell="A2" activePane="bottomLeft" state="frozen"/>
      <selection pane="bottomLeft" activeCell="C71" sqref="C71"/>
    </sheetView>
  </sheetViews>
  <sheetFormatPr defaultColWidth="9.140625" defaultRowHeight="15"/>
  <cols>
    <col min="1" max="1" width="21.85546875" style="46" customWidth="1"/>
    <col min="2" max="2" width="35.28515625" customWidth="1"/>
    <col min="3" max="5" width="9.140625" customWidth="1"/>
    <col min="6" max="6" width="9.5703125" customWidth="1"/>
    <col min="7" max="8" width="11.140625" customWidth="1"/>
    <col min="9" max="9" width="9.140625" customWidth="1"/>
    <col min="10" max="10" width="12.28515625" customWidth="1"/>
    <col min="11" max="11" width="9.140625" customWidth="1"/>
    <col min="12" max="12" width="8.28515625" customWidth="1"/>
    <col min="13" max="13" width="17.140625" customWidth="1"/>
    <col min="14" max="14" width="12.42578125" customWidth="1"/>
    <col min="15" max="15" width="12.140625" customWidth="1"/>
    <col min="16" max="16" width="11.85546875" customWidth="1"/>
    <col min="17" max="18" width="9.140625" customWidth="1"/>
    <col min="19" max="19" width="11.140625" customWidth="1"/>
    <col min="20" max="20" width="9.140625" customWidth="1"/>
    <col min="21" max="21" width="12.28515625" customWidth="1"/>
  </cols>
  <sheetData>
    <row r="1" spans="1:18">
      <c r="B1" s="9" t="s">
        <v>1</v>
      </c>
      <c r="C1" s="22" t="s">
        <v>561</v>
      </c>
      <c r="D1" s="22" t="s">
        <v>562</v>
      </c>
      <c r="E1" s="22" t="s">
        <v>563</v>
      </c>
      <c r="F1" s="22" t="s">
        <v>822</v>
      </c>
      <c r="G1" s="42" t="s">
        <v>823</v>
      </c>
      <c r="H1" s="42" t="s">
        <v>564</v>
      </c>
      <c r="I1" s="22" t="s">
        <v>822</v>
      </c>
      <c r="J1" s="42" t="s">
        <v>823</v>
      </c>
      <c r="K1" s="81" t="s">
        <v>564</v>
      </c>
      <c r="L1" s="22" t="s">
        <v>822</v>
      </c>
      <c r="M1" s="42" t="s">
        <v>823</v>
      </c>
      <c r="N1" s="42" t="s">
        <v>564</v>
      </c>
      <c r="O1" s="22" t="s">
        <v>822</v>
      </c>
      <c r="P1" s="42" t="s">
        <v>823</v>
      </c>
      <c r="Q1" s="42" t="s">
        <v>564</v>
      </c>
      <c r="R1" s="42"/>
    </row>
    <row r="2" spans="1:18" ht="23.25" customHeight="1">
      <c r="A2" s="171" t="s">
        <v>1216</v>
      </c>
      <c r="B2" s="113" t="s">
        <v>1021</v>
      </c>
      <c r="C2" s="43"/>
      <c r="D2" s="43"/>
      <c r="E2" s="43"/>
      <c r="F2" s="85"/>
      <c r="G2" s="44"/>
      <c r="H2" s="44"/>
      <c r="I2" s="87"/>
      <c r="J2" s="44"/>
      <c r="K2" s="45"/>
      <c r="L2" s="87"/>
      <c r="M2" s="44"/>
      <c r="N2" s="44"/>
      <c r="O2" s="87"/>
      <c r="P2" s="44"/>
      <c r="Q2" s="45"/>
    </row>
    <row r="3" spans="1:18" hidden="1">
      <c r="A3" s="172" t="s">
        <v>1146</v>
      </c>
      <c r="B3" s="52"/>
      <c r="C3" s="22" t="str">
        <f>IF(B3&lt;&gt;"",VLOOKUP(B3,Items!$A$616:$X$640,15,FALSE),"")</f>
        <v/>
      </c>
      <c r="D3" s="22" t="str">
        <f>IF(B3&lt;&gt;"",VLOOKUP(B3,Items!$A$616:$X$640,16,FALSE),"")</f>
        <v/>
      </c>
      <c r="E3" s="13" t="str">
        <f>IF(B3&lt;&gt;"",VLOOKUP(B3,Items!$A$616:$X$640,17,FALSE),"")</f>
        <v/>
      </c>
      <c r="F3" s="127" t="str">
        <f>IF(B3&lt;&gt;"",IF(VLOOKUP(B3,Items!$A$616:$X$640,19,FALSE)&lt;&gt;0,VLOOKUP(B3,Items!$A$616:$X$640,19,FALSE),""),"")</f>
        <v/>
      </c>
      <c r="G3" s="161" t="str">
        <f>IF(B3&lt;&gt;"",IF(VLOOKUP(B3,Items!$A$616:$X$640,20,FALSE)&lt;&gt;0,VLOOKUP(B3,Items!$A$616:$X$640,20,FALSE),""),"")</f>
        <v/>
      </c>
      <c r="H3" s="9" t="str">
        <f>IF(B3&lt;&gt;"",IF(VLOOKUP(B3,Items!$A$616:$X$640,21,FALSE)&lt;&gt;0,VLOOKUP(B3,Items!$A$616:$X$640,21,FALSE),""),"")</f>
        <v/>
      </c>
      <c r="I3" s="88" t="str">
        <f>IF(B3&lt;&gt;"",IF(VLOOKUP(B3,Items!$A$616:$X$640,22,FALSE)&lt;&gt;0,VLOOKUP(B3,Items!$A$616:$X$640,22,FALSE),""),"")</f>
        <v/>
      </c>
      <c r="J3" s="9" t="str">
        <f>IF(B3&lt;&gt;"",IF(VLOOKUP(B3,Items!$A$616:$X$640,23,FALSE)&lt;&gt;0,VLOOKUP(B3,Items!$A$616:$X$640,23,FALSE),""),"")</f>
        <v/>
      </c>
      <c r="K3" s="1" t="str">
        <f>IF(B3&lt;&gt;"",IF(VLOOKUP(B3,Items!$A$616:$X$640,24,FALSE)&lt;&gt;0,VLOOKUP(B3,Items!$A$616:$X$640,24,FALSE),""),"")</f>
        <v/>
      </c>
      <c r="L3" s="46"/>
      <c r="M3" s="9"/>
      <c r="N3" s="9"/>
      <c r="O3" s="46"/>
      <c r="P3" s="9"/>
      <c r="Q3" s="1"/>
    </row>
    <row r="4" spans="1:18" hidden="1">
      <c r="A4" s="172" t="s">
        <v>1147</v>
      </c>
      <c r="B4" s="52"/>
      <c r="C4" s="22" t="str">
        <f>IF(B4&lt;&gt;"",VLOOKUP(B4,Items!$A$616:$X$640,15,FALSE),"")</f>
        <v/>
      </c>
      <c r="D4" s="22" t="str">
        <f>IF(B4&lt;&gt;"",VLOOKUP(B4,Items!$A$616:$X$640,16,FALSE),"")</f>
        <v/>
      </c>
      <c r="E4" s="13" t="str">
        <f>IF(B4&lt;&gt;"",VLOOKUP(B4,Items!$A$616:$X$640,17,FALSE),"")</f>
        <v/>
      </c>
      <c r="F4" s="127" t="str">
        <f>IF(B4&lt;&gt;"",IF(VLOOKUP(B4,Items!$A$616:$X$640,19,FALSE)&lt;&gt;0,VLOOKUP(B4,Items!$A$616:$X$640,19,FALSE),""),"")</f>
        <v/>
      </c>
      <c r="G4" s="161" t="str">
        <f>IF(B4&lt;&gt;"",IF(VLOOKUP(B4,Items!$A$616:$X$640,20,FALSE)&lt;&gt;0,VLOOKUP(B4,Items!$A$616:$X$640,20,FALSE),""),"")</f>
        <v/>
      </c>
      <c r="H4" s="9" t="str">
        <f>IF(B4&lt;&gt;"",IF(VLOOKUP(B4,Items!$A$616:$X$640,21,FALSE)&lt;&gt;0,VLOOKUP(B4,Items!$A$616:$X$640,21,FALSE),""),"")</f>
        <v/>
      </c>
      <c r="I4" s="88" t="str">
        <f>IF(B4&lt;&gt;"",IF(VLOOKUP(B4,Items!$A$616:$X$640,22,FALSE)&lt;&gt;0,VLOOKUP(B4,Items!$A$616:$X$640,22,FALSE),""),"")</f>
        <v/>
      </c>
      <c r="J4" s="9" t="str">
        <f>IF(B4&lt;&gt;"",IF(VLOOKUP(B4,Items!$A$616:$X$640,23,FALSE)&lt;&gt;0,VLOOKUP(B4,Items!$A$616:$X$640,23,FALSE),""),"")</f>
        <v/>
      </c>
      <c r="K4" s="1" t="str">
        <f>IF(B4&lt;&gt;"",IF(VLOOKUP(B4,Items!$A$616:$X$640,24,FALSE)&lt;&gt;0,VLOOKUP(B4,Items!$A$616:$X$640,24,FALSE),""),"")</f>
        <v/>
      </c>
      <c r="L4" s="46"/>
      <c r="M4" s="9"/>
      <c r="N4" s="9"/>
      <c r="O4" s="46"/>
      <c r="P4" s="9"/>
      <c r="Q4" s="1"/>
    </row>
    <row r="5" spans="1:18" hidden="1">
      <c r="A5" s="172" t="s">
        <v>1148</v>
      </c>
      <c r="B5" s="52"/>
      <c r="C5" s="22" t="str">
        <f>IF(B5&lt;&gt;"",VLOOKUP(B5,Items!$A$616:$X$640,15,FALSE),"")</f>
        <v/>
      </c>
      <c r="D5" s="22" t="str">
        <f>IF(B5&lt;&gt;"",VLOOKUP(B5,Items!$A$616:$X$640,16,FALSE),"")</f>
        <v/>
      </c>
      <c r="E5" s="13" t="str">
        <f>IF(B5&lt;&gt;"",VLOOKUP(B5,Items!$A$616:$X$640,17,FALSE),"")</f>
        <v/>
      </c>
      <c r="F5" s="127" t="str">
        <f>IF(B5&lt;&gt;"",IF(VLOOKUP(B5,Items!$A$616:$X$640,19,FALSE)&lt;&gt;0,VLOOKUP(B5,Items!$A$616:$X$640,19,FALSE),""),"")</f>
        <v/>
      </c>
      <c r="G5" s="161" t="str">
        <f>IF(B5&lt;&gt;"",IF(VLOOKUP(B5,Items!$A$616:$X$640,20,FALSE)&lt;&gt;0,VLOOKUP(B5,Items!$A$616:$X$640,20,FALSE),""),"")</f>
        <v/>
      </c>
      <c r="H5" s="9" t="str">
        <f>IF(B5&lt;&gt;"",IF(VLOOKUP(B5,Items!$A$616:$X$640,21,FALSE)&lt;&gt;0,VLOOKUP(B5,Items!$A$616:$X$640,21,FALSE),""),"")</f>
        <v/>
      </c>
      <c r="I5" s="88" t="str">
        <f>IF(B5&lt;&gt;"",IF(VLOOKUP(B5,Items!$A$616:$X$640,22,FALSE)&lt;&gt;0,VLOOKUP(B5,Items!$A$616:$X$640,22,FALSE),""),"")</f>
        <v/>
      </c>
      <c r="J5" s="9" t="str">
        <f>IF(B5&lt;&gt;"",IF(VLOOKUP(B5,Items!$A$616:$X$640,23,FALSE)&lt;&gt;0,VLOOKUP(B5,Items!$A$616:$X$640,23,FALSE),""),"")</f>
        <v/>
      </c>
      <c r="K5" s="1" t="str">
        <f>IF(B5&lt;&gt;"",IF(VLOOKUP(B5,Items!$A$616:$X$640,24,FALSE)&lt;&gt;0,VLOOKUP(B5,Items!$A$616:$X$640,24,FALSE),""),"")</f>
        <v/>
      </c>
      <c r="L5" s="46"/>
      <c r="M5" s="9"/>
      <c r="N5" s="9"/>
      <c r="O5" s="46"/>
      <c r="P5" s="9"/>
      <c r="Q5" s="1"/>
    </row>
    <row r="6" spans="1:18" hidden="1">
      <c r="A6" s="172" t="s">
        <v>1149</v>
      </c>
      <c r="B6" s="52"/>
      <c r="C6" s="22" t="str">
        <f>IF(B6&lt;&gt;"",VLOOKUP(B6,Items!$A$616:$X$640,15,FALSE),"")</f>
        <v/>
      </c>
      <c r="D6" s="22" t="str">
        <f>IF(B6&lt;&gt;"",VLOOKUP(B6,Items!$A$616:$X$640,16,FALSE),"")</f>
        <v/>
      </c>
      <c r="E6" s="13" t="str">
        <f>IF(B6&lt;&gt;"",VLOOKUP(B6,Items!$A$616:$X$640,17,FALSE),"")</f>
        <v/>
      </c>
      <c r="F6" s="127" t="str">
        <f>IF(B6&lt;&gt;"",IF(VLOOKUP(B6,Items!$A$616:$X$640,19,FALSE)&lt;&gt;0,VLOOKUP(B6,Items!$A$616:$X$640,19,FALSE),""),"")</f>
        <v/>
      </c>
      <c r="G6" s="161" t="str">
        <f>IF(B6&lt;&gt;"",IF(VLOOKUP(B6,Items!$A$616:$X$640,20,FALSE)&lt;&gt;0,VLOOKUP(B6,Items!$A$616:$X$640,20,FALSE),""),"")</f>
        <v/>
      </c>
      <c r="H6" s="9" t="str">
        <f>IF(B6&lt;&gt;"",IF(VLOOKUP(B6,Items!$A$616:$X$640,21,FALSE)&lt;&gt;0,VLOOKUP(B6,Items!$A$616:$X$640,21,FALSE),""),"")</f>
        <v/>
      </c>
      <c r="I6" s="88" t="str">
        <f>IF(B6&lt;&gt;"",IF(VLOOKUP(B6,Items!$A$616:$X$640,22,FALSE)&lt;&gt;0,VLOOKUP(B6,Items!$A$616:$X$640,22,FALSE),""),"")</f>
        <v/>
      </c>
      <c r="J6" s="9" t="str">
        <f>IF(B6&lt;&gt;"",IF(VLOOKUP(B6,Items!$A$616:$X$640,23,FALSE)&lt;&gt;0,VLOOKUP(B6,Items!$A$616:$X$640,23,FALSE),""),"")</f>
        <v/>
      </c>
      <c r="K6" s="1" t="str">
        <f>IF(B6&lt;&gt;"",IF(VLOOKUP(B6,Items!$A$616:$X$640,24,FALSE)&lt;&gt;0,VLOOKUP(B6,Items!$A$616:$X$640,24,FALSE),""),"")</f>
        <v/>
      </c>
      <c r="L6" s="46"/>
      <c r="M6" s="9"/>
      <c r="N6" s="9"/>
      <c r="O6" s="46"/>
      <c r="P6" s="9"/>
      <c r="Q6" s="1"/>
    </row>
    <row r="7" spans="1:18" hidden="1">
      <c r="A7" s="172" t="s">
        <v>1150</v>
      </c>
      <c r="B7" s="52"/>
      <c r="C7" s="22" t="str">
        <f>IF(B7&lt;&gt;"",VLOOKUP(B7,Items!$A$616:$X$640,15,FALSE),"")</f>
        <v/>
      </c>
      <c r="D7" s="22" t="str">
        <f>IF(B7&lt;&gt;"",VLOOKUP(B7,Items!$A$616:$X$640,16,FALSE),"")</f>
        <v/>
      </c>
      <c r="E7" s="13" t="str">
        <f>IF(B7&lt;&gt;"",VLOOKUP(B7,Items!$A$616:$X$640,17,FALSE),"")</f>
        <v/>
      </c>
      <c r="F7" s="127" t="str">
        <f>IF(B7&lt;&gt;"",IF(VLOOKUP(B7,Items!$A$616:$X$640,19,FALSE)&lt;&gt;0,VLOOKUP(B7,Items!$A$616:$X$640,19,FALSE),""),"")</f>
        <v/>
      </c>
      <c r="G7" s="161" t="str">
        <f>IF(B7&lt;&gt;"",IF(VLOOKUP(B7,Items!$A$616:$X$640,20,FALSE)&lt;&gt;0,VLOOKUP(B7,Items!$A$616:$X$640,20,FALSE),""),"")</f>
        <v/>
      </c>
      <c r="H7" s="9" t="str">
        <f>IF(B7&lt;&gt;"",IF(VLOOKUP(B7,Items!$A$616:$X$640,21,FALSE)&lt;&gt;0,VLOOKUP(B7,Items!$A$616:$X$640,21,FALSE),""),"")</f>
        <v/>
      </c>
      <c r="I7" s="88" t="str">
        <f>IF(B7&lt;&gt;"",IF(VLOOKUP(B7,Items!$A$616:$X$640,22,FALSE)&lt;&gt;0,VLOOKUP(B7,Items!$A$616:$X$640,22,FALSE),""),"")</f>
        <v/>
      </c>
      <c r="J7" s="9" t="str">
        <f>IF(B7&lt;&gt;"",IF(VLOOKUP(B7,Items!$A$616:$X$640,23,FALSE)&lt;&gt;0,VLOOKUP(B7,Items!$A$616:$X$640,23,FALSE),""),"")</f>
        <v/>
      </c>
      <c r="K7" s="1" t="str">
        <f>IF(B7&lt;&gt;"",IF(VLOOKUP(B7,Items!$A$616:$X$640,24,FALSE)&lt;&gt;0,VLOOKUP(B7,Items!$A$616:$X$640,24,FALSE),""),"")</f>
        <v/>
      </c>
      <c r="L7" s="46"/>
      <c r="M7" s="9"/>
      <c r="N7" s="9"/>
      <c r="O7" s="46"/>
      <c r="P7" s="9"/>
      <c r="Q7" s="1"/>
    </row>
    <row r="8" spans="1:18" hidden="1">
      <c r="A8" s="172" t="s">
        <v>1151</v>
      </c>
      <c r="B8" s="52"/>
      <c r="C8" s="22" t="str">
        <f>IF(B8&lt;&gt;"",VLOOKUP(B8,Items!$A$616:$X$640,15,FALSE),"")</f>
        <v/>
      </c>
      <c r="D8" s="22" t="str">
        <f>IF(B8&lt;&gt;"",VLOOKUP(B8,Items!$A$616:$X$640,16,FALSE),"")</f>
        <v/>
      </c>
      <c r="E8" s="13" t="str">
        <f>IF(B8&lt;&gt;"",VLOOKUP(B8,Items!$A$616:$X$640,17,FALSE),"")</f>
        <v/>
      </c>
      <c r="F8" s="127" t="str">
        <f>IF(B8&lt;&gt;"",IF(VLOOKUP(B8,Items!$A$616:$X$640,19,FALSE)&lt;&gt;0,VLOOKUP(B8,Items!$A$616:$X$640,19,FALSE),""),"")</f>
        <v/>
      </c>
      <c r="G8" s="161" t="str">
        <f>IF(B8&lt;&gt;"",IF(VLOOKUP(B8,Items!$A$616:$X$640,20,FALSE)&lt;&gt;0,VLOOKUP(B8,Items!$A$616:$X$640,20,FALSE),""),"")</f>
        <v/>
      </c>
      <c r="H8" s="9" t="str">
        <f>IF(B8&lt;&gt;"",IF(VLOOKUP(B8,Items!$A$616:$X$640,21,FALSE)&lt;&gt;0,VLOOKUP(B8,Items!$A$616:$X$640,21,FALSE),""),"")</f>
        <v/>
      </c>
      <c r="I8" s="88" t="str">
        <f>IF(B8&lt;&gt;"",IF(VLOOKUP(B8,Items!$A$616:$X$640,22,FALSE)&lt;&gt;0,VLOOKUP(B8,Items!$A$616:$X$640,22,FALSE),""),"")</f>
        <v/>
      </c>
      <c r="J8" s="9" t="str">
        <f>IF(B8&lt;&gt;"",IF(VLOOKUP(B8,Items!$A$616:$X$640,23,FALSE)&lt;&gt;0,VLOOKUP(B8,Items!$A$616:$X$640,23,FALSE),""),"")</f>
        <v/>
      </c>
      <c r="K8" s="1" t="str">
        <f>IF(B8&lt;&gt;"",IF(VLOOKUP(B8,Items!$A$616:$X$640,24,FALSE)&lt;&gt;0,VLOOKUP(B8,Items!$A$616:$X$640,24,FALSE),""),"")</f>
        <v/>
      </c>
      <c r="L8" s="46"/>
      <c r="M8" s="9"/>
      <c r="N8" s="9"/>
      <c r="O8" s="46"/>
      <c r="P8" s="9"/>
      <c r="Q8" s="1"/>
    </row>
    <row r="9" spans="1:18">
      <c r="A9" s="46" t="s">
        <v>631</v>
      </c>
      <c r="B9" s="52"/>
      <c r="C9" s="22">
        <v>0</v>
      </c>
      <c r="D9" s="22">
        <v>0</v>
      </c>
      <c r="E9" s="22">
        <v>1</v>
      </c>
      <c r="F9" s="88"/>
      <c r="G9" s="9"/>
      <c r="H9" s="9"/>
      <c r="I9" s="46"/>
      <c r="J9" s="9"/>
      <c r="K9" s="1"/>
      <c r="L9" s="46"/>
      <c r="M9" s="22"/>
      <c r="N9" s="9"/>
      <c r="O9" s="88"/>
      <c r="P9" s="22"/>
      <c r="Q9" s="1"/>
    </row>
    <row r="10" spans="1:18">
      <c r="A10" s="46" t="s">
        <v>565</v>
      </c>
      <c r="B10" s="52" t="s">
        <v>1217</v>
      </c>
      <c r="C10" s="22">
        <f>IF(convertString(B10, "prefix")&lt;&gt;"",VLOOKUP(convertString(B10, "prefix"),Items!$A$544:$Z$612,15,FALSE),0) + IF(convertString(B10, "item")&lt;&gt;"",VLOOKUP(convertString(B10, "item"),Items!$A$14:$X$432,15,FALSE),0) + IF(convertString(B10, "suffix")&lt;&gt;"",VLOOKUP(convertString(B10, "suffix"),Items!$A$544:$Z$612,15,FALSE),0) + SUM(C11:C16)</f>
        <v>0</v>
      </c>
      <c r="D10" s="22">
        <f>IF(convertString(B10, "prefix")&lt;&gt;"",VLOOKUP(convertString(B10, "prefix"),Items!$A$544:$Z$612,16,FALSE),0) + IF(convertString(B10, "item")&lt;&gt;"",VLOOKUP(convertString(B10, "item"),Items!$A$14:$X$432,16,FALSE),0) + IF(convertString(B10, "suffix")&lt;&gt;"",VLOOKUP(convertString(B10, "suffix"),Items!$A$544:$Z$612,16,FALSE),0)+SUM(D11:D16)</f>
        <v>2</v>
      </c>
      <c r="E10" s="22">
        <f>IF(convertString(B10, "prefix")&lt;&gt;"",VLOOKUP(convertString(B10, "prefix"),Items!$A$544:$Z$612,17,FALSE),0) + IF(convertString(B10, "item")&lt;&gt;"",VLOOKUP(convertString(B10, "item"),Items!$A$14:$X$432,17,FALSE),0) + IF(convertString(B10, "suffix")&lt;&gt;"",VLOOKUP(convertString(B10, "suffix"),Items!$A$544:$Z$612,17,FALSE),0)+SUM(E11:E16)</f>
        <v>3</v>
      </c>
      <c r="F10" s="88">
        <f>IF(VLOOKUP(convertString(B10, "item"),Items!$A$14:$X$432,19,FALSE)&lt;&gt;"",VLOOKUP(convertString(B10, "item"),Items!$A$14:$X$432,19,FALSE),"")</f>
        <v>0.03</v>
      </c>
      <c r="G10" s="118" t="str">
        <f>IF(VLOOKUP(convertString(B10, "item"),Items!$A$14:$X$432,20,FALSE)&lt;&gt;0,VLOOKUP(convertString(B10, "item"),Items!$A$14:$X$432,20,FALSE),"")</f>
        <v>Sabotage</v>
      </c>
      <c r="H10" s="9" t="str">
        <f>IF(VLOOKUP(convertString(B10, "item"),Items!$A$14:$X$432,21,FALSE)&lt;&gt;"",VLOOKUP(convertString(B10, "item"),Items!$A$14:$X$432,21,FALSE),"")</f>
        <v>Attack</v>
      </c>
      <c r="I10" s="88" t="str">
        <f>IF(VLOOKUP(convertString(B10, "item"),Items!$A$14:$X$432,22,FALSE)&lt;&gt;"",VLOOKUP(convertString(B10, "item"),Items!$A$14:$X$432,22,FALSE),"")</f>
        <v/>
      </c>
      <c r="J10" s="161" t="str">
        <f>IF(VLOOKUP(convertString(B10, "item"),Items!$A$14:$X$432,23,FALSE)&lt;&gt;"",VLOOKUP(convertString(B10, "item"),Items!$A$14:$X$432,23,FALSE),"")</f>
        <v/>
      </c>
      <c r="K10" s="9" t="str">
        <f>IF(VLOOKUP(convertString(B10, "item"),Items!$A$14:$X$432,24,FALSE)&lt;&gt;"",VLOOKUP(convertString(B10, "item"),Items!$A$14:$X$432,24,FALSE),"")</f>
        <v/>
      </c>
      <c r="L10" s="88" t="str">
        <f>IF(IF(convertString(B10, "suffix")&lt;&gt;"",VLOOKUP(convertString(B10, "suffix"),Items!$A$544:$Z$612,19,FALSE),"")&lt;&gt;"",IF(convertString(B10, "suffix")&lt;&gt;"",VLOOKUP(convertString(B10, "suffix"),Items!$A$544:$Z$612,19,FALSE),""),"")</f>
        <v/>
      </c>
      <c r="M10" s="9" t="str">
        <f>IF(IF(convertString(B10, "suffix")&lt;&gt;"",VLOOKUP(convertString(B10, "suffix"),Items!$A$544:$Z$612,20,FALSE),"")&lt;&gt;"",IF(convertString(B10, "suffix")&lt;&gt;"",VLOOKUP(convertString(B10, "suffix"),Items!$A$544:$Z$612,20,FALSE),""),"")</f>
        <v/>
      </c>
      <c r="N10" s="9" t="str">
        <f>IF(IF(convertString(B10, "suffix")&lt;&gt;"",VLOOKUP(convertString(B10, "suffix"),Items!$A$544:$Z$612,21,FALSE),"")&lt;&gt;"",IF(convertString(B10, "suffix")&lt;&gt;"",VLOOKUP(convertString(B10, "suffix"),Items!$A$544:$Z$612,21,FALSE),""),"")</f>
        <v/>
      </c>
      <c r="O10" s="88" t="str">
        <f>IF(IF(convertString(B10, "prefix")&lt;&gt;"",VLOOKUP(convertString(B10, "prefix"),Items!$A$544:$Z$612,19,FALSE),"")&lt;&gt;"",IF(convertString(B10, "prefix")&lt;&gt;"",VLOOKUP(convertString(B10, "prefix"),Items!$A$544:$Z$612,19,FALSE),""),"")</f>
        <v/>
      </c>
      <c r="P10" s="127" t="str">
        <f>IF(IF(convertString(B10, "prefix")&lt;&gt;"",VLOOKUP(convertString(B10, "prefix"),Items!$A$544:$Z$612,20,FALSE),"")&lt;&gt;"",IF(convertString(B10, "prefix")&lt;&gt;"",VLOOKUP(convertString(B10, "prefix"),Items!$A$544:$Z$612,20,FALSE),""),"")</f>
        <v/>
      </c>
      <c r="Q10" s="1" t="str">
        <f>IF(IF(convertString(B10, "prefix")&lt;&gt;"",VLOOKUP(convertString(B10, "prefix"),Items!$A$544:$Z$612,21,FALSE),"")&lt;&gt;"",IF(convertString(B10, "prefix")&lt;&gt;"",VLOOKUP(convertString(B10, "prefix"),Items!$A$544:$Z$612,21,FALSE),""),"")</f>
        <v/>
      </c>
    </row>
    <row r="11" spans="1:18" hidden="1">
      <c r="A11" s="172" t="s">
        <v>1146</v>
      </c>
      <c r="B11" s="52"/>
      <c r="C11" s="22" t="str">
        <f>IF(B11&lt;&gt;"",VLOOKUP(B11,Items!$A$616:$X$640,15,FALSE),"")</f>
        <v/>
      </c>
      <c r="D11" s="22" t="str">
        <f>IF(B11&lt;&gt;"",VLOOKUP(B11,Items!$A$616:$X$640,16,FALSE),"")</f>
        <v/>
      </c>
      <c r="E11" s="13" t="str">
        <f>IF(B11&lt;&gt;"",VLOOKUP(B11,Items!$A$616:$X$640,17,FALSE),"")</f>
        <v/>
      </c>
      <c r="F11" s="127" t="str">
        <f>IF(B11&lt;&gt;"",IF(VLOOKUP(B11,Items!$A$616:$X$640,19,FALSE)&lt;&gt;0,VLOOKUP(B11,Items!$A$616:$X$640,19,FALSE),""),"")</f>
        <v/>
      </c>
      <c r="G11" s="161" t="str">
        <f>IF(B11&lt;&gt;"",IF(VLOOKUP(B11,Items!$A$616:$X$640,20,FALSE)&lt;&gt;0,VLOOKUP(B11,Items!$A$616:$X$640,20,FALSE),""),"")</f>
        <v/>
      </c>
      <c r="H11" s="9" t="str">
        <f>IF(B11&lt;&gt;"",IF(VLOOKUP(B11,Items!$A$616:$X$640,21,FALSE)&lt;&gt;0,VLOOKUP(B11,Items!$A$616:$X$640,21,FALSE),""),"")</f>
        <v/>
      </c>
      <c r="I11" s="88" t="str">
        <f>IF(B11&lt;&gt;"",IF(VLOOKUP(B11,Items!$A$616:$X$640,22,FALSE)&lt;&gt;0,VLOOKUP(B11,Items!$A$616:$X$640,22,FALSE),""),"")</f>
        <v/>
      </c>
      <c r="J11" s="9" t="str">
        <f>IF(B11&lt;&gt;"",IF(VLOOKUP(B11,Items!$A$616:$X$640,23,FALSE)&lt;&gt;0,VLOOKUP(B11,Items!$A$616:$X$640,23,FALSE),""),"")</f>
        <v/>
      </c>
      <c r="K11" s="1" t="str">
        <f>IF(B11&lt;&gt;"",IF(VLOOKUP(B11,Items!$A$616:$X$640,24,FALSE)&lt;&gt;0,VLOOKUP(B11,Items!$A$616:$X$640,24,FALSE),""),"")</f>
        <v/>
      </c>
      <c r="L11" s="88"/>
      <c r="M11" s="9"/>
      <c r="N11" s="9"/>
      <c r="O11" s="88"/>
      <c r="P11" s="127"/>
      <c r="Q11" s="1"/>
    </row>
    <row r="12" spans="1:18" hidden="1">
      <c r="A12" s="172" t="s">
        <v>1147</v>
      </c>
      <c r="B12" s="52"/>
      <c r="C12" s="22" t="str">
        <f>IF(B12&lt;&gt;"",VLOOKUP(B12,Items!$A$616:$X$640,15,FALSE),"")</f>
        <v/>
      </c>
      <c r="D12" s="22" t="str">
        <f>IF(B12&lt;&gt;"",VLOOKUP(B12,Items!$A$616:$X$640,16,FALSE),"")</f>
        <v/>
      </c>
      <c r="E12" s="13" t="str">
        <f>IF(B12&lt;&gt;"",VLOOKUP(B12,Items!$A$616:$X$640,17,FALSE),"")</f>
        <v/>
      </c>
      <c r="F12" s="127" t="str">
        <f>IF(B12&lt;&gt;"",IF(VLOOKUP(B12,Items!$A$616:$X$640,19,FALSE)&lt;&gt;0,VLOOKUP(B12,Items!$A$616:$X$640,19,FALSE),""),"")</f>
        <v/>
      </c>
      <c r="G12" s="161" t="str">
        <f>IF(B12&lt;&gt;"",IF(VLOOKUP(B12,Items!$A$616:$X$640,20,FALSE)&lt;&gt;0,VLOOKUP(B12,Items!$A$616:$X$640,20,FALSE),""),"")</f>
        <v/>
      </c>
      <c r="H12" s="9" t="str">
        <f>IF(B12&lt;&gt;"",IF(VLOOKUP(B12,Items!$A$616:$X$640,21,FALSE)&lt;&gt;0,VLOOKUP(B12,Items!$A$616:$X$640,21,FALSE),""),"")</f>
        <v/>
      </c>
      <c r="I12" s="88" t="str">
        <f>IF(B12&lt;&gt;"",IF(VLOOKUP(B12,Items!$A$616:$X$640,22,FALSE)&lt;&gt;0,VLOOKUP(B12,Items!$A$616:$X$640,22,FALSE),""),"")</f>
        <v/>
      </c>
      <c r="J12" s="9" t="str">
        <f>IF(B12&lt;&gt;"",IF(VLOOKUP(B12,Items!$A$616:$X$640,23,FALSE)&lt;&gt;0,VLOOKUP(B12,Items!$A$616:$X$640,23,FALSE),""),"")</f>
        <v/>
      </c>
      <c r="K12" s="1" t="str">
        <f>IF(B12&lt;&gt;"",IF(VLOOKUP(B12,Items!$A$616:$X$640,24,FALSE)&lt;&gt;0,VLOOKUP(B12,Items!$A$616:$X$640,24,FALSE),""),"")</f>
        <v/>
      </c>
      <c r="L12" s="88"/>
      <c r="M12" s="9"/>
      <c r="N12" s="9"/>
      <c r="O12" s="88"/>
      <c r="P12" s="127"/>
      <c r="Q12" s="1"/>
    </row>
    <row r="13" spans="1:18" hidden="1">
      <c r="A13" s="172" t="s">
        <v>1148</v>
      </c>
      <c r="B13" s="52"/>
      <c r="C13" s="22" t="str">
        <f>IF(B13&lt;&gt;"",VLOOKUP(B13,Items!$A$616:$X$640,15,FALSE),"")</f>
        <v/>
      </c>
      <c r="D13" s="22" t="str">
        <f>IF(B13&lt;&gt;"",VLOOKUP(B13,Items!$A$616:$X$640,16,FALSE),"")</f>
        <v/>
      </c>
      <c r="E13" s="13" t="str">
        <f>IF(B13&lt;&gt;"",VLOOKUP(B13,Items!$A$616:$X$640,17,FALSE),"")</f>
        <v/>
      </c>
      <c r="F13" s="127" t="str">
        <f>IF(B13&lt;&gt;"",IF(VLOOKUP(B13,Items!$A$616:$X$640,19,FALSE)&lt;&gt;0,VLOOKUP(B13,Items!$A$616:$X$640,19,FALSE),""),"")</f>
        <v/>
      </c>
      <c r="G13" s="161" t="str">
        <f>IF(B13&lt;&gt;"",IF(VLOOKUP(B13,Items!$A$616:$X$640,20,FALSE)&lt;&gt;0,VLOOKUP(B13,Items!$A$616:$X$640,20,FALSE),""),"")</f>
        <v/>
      </c>
      <c r="H13" s="9" t="str">
        <f>IF(B13&lt;&gt;"",IF(VLOOKUP(B13,Items!$A$616:$X$640,21,FALSE)&lt;&gt;0,VLOOKUP(B13,Items!$A$616:$X$640,21,FALSE),""),"")</f>
        <v/>
      </c>
      <c r="I13" s="88" t="str">
        <f>IF(B13&lt;&gt;"",IF(VLOOKUP(B13,Items!$A$616:$X$640,22,FALSE)&lt;&gt;0,VLOOKUP(B13,Items!$A$616:$X$640,22,FALSE),""),"")</f>
        <v/>
      </c>
      <c r="J13" s="9" t="str">
        <f>IF(B13&lt;&gt;"",IF(VLOOKUP(B13,Items!$A$616:$X$640,23,FALSE)&lt;&gt;0,VLOOKUP(B13,Items!$A$616:$X$640,23,FALSE),""),"")</f>
        <v/>
      </c>
      <c r="K13" s="1" t="str">
        <f>IF(B13&lt;&gt;"",IF(VLOOKUP(B13,Items!$A$616:$X$640,24,FALSE)&lt;&gt;0,VLOOKUP(B13,Items!$A$616:$X$640,24,FALSE),""),"")</f>
        <v/>
      </c>
      <c r="L13" s="88"/>
      <c r="M13" s="9"/>
      <c r="N13" s="9"/>
      <c r="O13" s="88"/>
      <c r="P13" s="127"/>
      <c r="Q13" s="1"/>
    </row>
    <row r="14" spans="1:18" hidden="1">
      <c r="A14" s="172" t="s">
        <v>1149</v>
      </c>
      <c r="B14" s="52"/>
      <c r="C14" s="22" t="str">
        <f>IF(B14&lt;&gt;"",VLOOKUP(B14,Items!$A$616:$X$640,15,FALSE),"")</f>
        <v/>
      </c>
      <c r="D14" s="22" t="str">
        <f>IF(B14&lt;&gt;"",VLOOKUP(B14,Items!$A$616:$X$640,16,FALSE),"")</f>
        <v/>
      </c>
      <c r="E14" s="13" t="str">
        <f>IF(B14&lt;&gt;"",VLOOKUP(B14,Items!$A$616:$X$640,17,FALSE),"")</f>
        <v/>
      </c>
      <c r="F14" s="127" t="str">
        <f>IF(B14&lt;&gt;"",IF(VLOOKUP(B14,Items!$A$616:$X$640,19,FALSE)&lt;&gt;0,VLOOKUP(B14,Items!$A$616:$X$640,19,FALSE),""),"")</f>
        <v/>
      </c>
      <c r="G14" s="161" t="str">
        <f>IF(B14&lt;&gt;"",IF(VLOOKUP(B14,Items!$A$616:$X$640,20,FALSE)&lt;&gt;0,VLOOKUP(B14,Items!$A$616:$X$640,20,FALSE),""),"")</f>
        <v/>
      </c>
      <c r="H14" s="9" t="str">
        <f>IF(B14&lt;&gt;"",IF(VLOOKUP(B14,Items!$A$616:$X$640,21,FALSE)&lt;&gt;0,VLOOKUP(B14,Items!$A$616:$X$640,21,FALSE),""),"")</f>
        <v/>
      </c>
      <c r="I14" s="88" t="str">
        <f>IF(B14&lt;&gt;"",IF(VLOOKUP(B14,Items!$A$616:$X$640,22,FALSE)&lt;&gt;0,VLOOKUP(B14,Items!$A$616:$X$640,22,FALSE),""),"")</f>
        <v/>
      </c>
      <c r="J14" s="9" t="str">
        <f>IF(B14&lt;&gt;"",IF(VLOOKUP(B14,Items!$A$616:$X$640,23,FALSE)&lt;&gt;0,VLOOKUP(B14,Items!$A$616:$X$640,23,FALSE),""),"")</f>
        <v/>
      </c>
      <c r="K14" s="1" t="str">
        <f>IF(B14&lt;&gt;"",IF(VLOOKUP(B14,Items!$A$616:$X$640,24,FALSE)&lt;&gt;0,VLOOKUP(B14,Items!$A$616:$X$640,24,FALSE),""),"")</f>
        <v/>
      </c>
      <c r="L14" s="88"/>
      <c r="M14" s="9"/>
      <c r="N14" s="9"/>
      <c r="O14" s="88"/>
      <c r="P14" s="127"/>
      <c r="Q14" s="1"/>
    </row>
    <row r="15" spans="1:18" hidden="1">
      <c r="A15" s="172" t="s">
        <v>1150</v>
      </c>
      <c r="B15" s="52"/>
      <c r="C15" s="22" t="str">
        <f>IF(B15&lt;&gt;"",VLOOKUP(B15,Items!$A$616:$X$640,15,FALSE),"")</f>
        <v/>
      </c>
      <c r="D15" s="22" t="str">
        <f>IF(B15&lt;&gt;"",VLOOKUP(B15,Items!$A$616:$X$640,16,FALSE),"")</f>
        <v/>
      </c>
      <c r="E15" s="13" t="str">
        <f>IF(B15&lt;&gt;"",VLOOKUP(B15,Items!$A$616:$X$640,17,FALSE),"")</f>
        <v/>
      </c>
      <c r="F15" s="127" t="str">
        <f>IF(B15&lt;&gt;"",IF(VLOOKUP(B15,Items!$A$616:$X$640,19,FALSE)&lt;&gt;0,VLOOKUP(B15,Items!$A$616:$X$640,19,FALSE),""),"")</f>
        <v/>
      </c>
      <c r="G15" s="161" t="str">
        <f>IF(B15&lt;&gt;"",IF(VLOOKUP(B15,Items!$A$616:$X$640,20,FALSE)&lt;&gt;0,VLOOKUP(B15,Items!$A$616:$X$640,20,FALSE),""),"")</f>
        <v/>
      </c>
      <c r="H15" s="9" t="str">
        <f>IF(B15&lt;&gt;"",IF(VLOOKUP(B15,Items!$A$616:$X$640,21,FALSE)&lt;&gt;0,VLOOKUP(B15,Items!$A$616:$X$640,21,FALSE),""),"")</f>
        <v/>
      </c>
      <c r="I15" s="88" t="str">
        <f>IF(B15&lt;&gt;"",IF(VLOOKUP(B15,Items!$A$616:$X$640,22,FALSE)&lt;&gt;0,VLOOKUP(B15,Items!$A$616:$X$640,22,FALSE),""),"")</f>
        <v/>
      </c>
      <c r="J15" s="9" t="str">
        <f>IF(B15&lt;&gt;"",IF(VLOOKUP(B15,Items!$A$616:$X$640,23,FALSE)&lt;&gt;0,VLOOKUP(B15,Items!$A$616:$X$640,23,FALSE),""),"")</f>
        <v/>
      </c>
      <c r="K15" s="1" t="str">
        <f>IF(B15&lt;&gt;"",IF(VLOOKUP(B15,Items!$A$616:$X$640,24,FALSE)&lt;&gt;0,VLOOKUP(B15,Items!$A$616:$X$640,24,FALSE),""),"")</f>
        <v/>
      </c>
      <c r="L15" s="88"/>
      <c r="M15" s="9"/>
      <c r="N15" s="9"/>
      <c r="O15" s="88"/>
      <c r="P15" s="127"/>
      <c r="Q15" s="1"/>
    </row>
    <row r="16" spans="1:18" hidden="1">
      <c r="A16" s="172" t="s">
        <v>1151</v>
      </c>
      <c r="B16" s="52"/>
      <c r="C16" s="22" t="str">
        <f>IF(B16&lt;&gt;"",VLOOKUP(B16,Items!$A$616:$X$640,15,FALSE),"")</f>
        <v/>
      </c>
      <c r="D16" s="22" t="str">
        <f>IF(B16&lt;&gt;"",VLOOKUP(B16,Items!$A$616:$X$640,16,FALSE),"")</f>
        <v/>
      </c>
      <c r="E16" s="13" t="str">
        <f>IF(B16&lt;&gt;"",VLOOKUP(B16,Items!$A$616:$X$640,17,FALSE),"")</f>
        <v/>
      </c>
      <c r="F16" s="127" t="str">
        <f>IF(B16&lt;&gt;"",IF(VLOOKUP(B16,Items!$A$616:$X$640,19,FALSE)&lt;&gt;0,VLOOKUP(B16,Items!$A$616:$X$640,19,FALSE),""),"")</f>
        <v/>
      </c>
      <c r="G16" s="161" t="str">
        <f>IF(B16&lt;&gt;"",IF(VLOOKUP(B16,Items!$A$616:$X$640,20,FALSE)&lt;&gt;0,VLOOKUP(B16,Items!$A$616:$X$640,20,FALSE),""),"")</f>
        <v/>
      </c>
      <c r="H16" s="9" t="str">
        <f>IF(B16&lt;&gt;"",IF(VLOOKUP(B16,Items!$A$616:$X$640,21,FALSE)&lt;&gt;0,VLOOKUP(B16,Items!$A$616:$X$640,21,FALSE),""),"")</f>
        <v/>
      </c>
      <c r="I16" s="88" t="str">
        <f>IF(B16&lt;&gt;"",IF(VLOOKUP(B16,Items!$A$616:$X$640,22,FALSE)&lt;&gt;0,VLOOKUP(B16,Items!$A$616:$X$640,22,FALSE),""),"")</f>
        <v/>
      </c>
      <c r="J16" s="9" t="str">
        <f>IF(B16&lt;&gt;"",IF(VLOOKUP(B16,Items!$A$616:$X$640,23,FALSE)&lt;&gt;0,VLOOKUP(B16,Items!$A$616:$X$640,23,FALSE),""),"")</f>
        <v/>
      </c>
      <c r="K16" s="1" t="str">
        <f>IF(B16&lt;&gt;"",IF(VLOOKUP(B16,Items!$A$616:$X$640,24,FALSE)&lt;&gt;0,VLOOKUP(B16,Items!$A$616:$X$640,24,FALSE),""),"")</f>
        <v/>
      </c>
      <c r="L16" s="88"/>
      <c r="M16" s="9"/>
      <c r="N16" s="9"/>
      <c r="O16" s="88"/>
      <c r="P16" s="127"/>
      <c r="Q16" s="1"/>
    </row>
    <row r="17" spans="1:17">
      <c r="A17" s="46" t="s">
        <v>570</v>
      </c>
      <c r="B17" s="52" t="s">
        <v>1145</v>
      </c>
      <c r="C17" s="22">
        <f>IF(convertString(B17, "prefix")&lt;&gt;"",VLOOKUP(convertString(B17, "prefix"),Items!$A$544:$Z$612,15,FALSE),0) + IF(convertString(B17, "item")&lt;&gt;"",VLOOKUP(convertString(B17, "item"),Items!$A$14:$X$432,15,FALSE),0) + IF(convertString(B17, "suffix")&lt;&gt;"",VLOOKUP(convertString(B17, "suffix"),Items!$A$544:$Z$612,15,FALSE),0) + SUM(C18:C23)</f>
        <v>0</v>
      </c>
      <c r="D17" s="22">
        <f>IF(convertString(B17, "prefix")&lt;&gt;"",VLOOKUP(convertString(B17, "prefix"),Items!$A$544:$Z$612,16,FALSE),0) + IF(convertString(B17, "item")&lt;&gt;"",VLOOKUP(convertString(B17, "item"),Items!$A$14:$X$432,16,FALSE),0) + IF(convertString(B17, "suffix")&lt;&gt;"",VLOOKUP(convertString(B17, "suffix"),Items!$A$544:$Z$612,16,FALSE),0)+SUM(D18:D23)</f>
        <v>0</v>
      </c>
      <c r="E17" s="22">
        <f>IF(convertString(B17, "prefix")&lt;&gt;"",VLOOKUP(convertString(B17, "prefix"),Items!$A$544:$Z$612,17,FALSE),0) + IF(convertString(B17, "item")&lt;&gt;"",VLOOKUP(convertString(B17, "item"),Items!$A$14:$X$432,17,FALSE),0) + IF(convertString(B17, "suffix")&lt;&gt;"",VLOOKUP(convertString(B17, "suffix"),Items!$A$544:$Z$612,17,FALSE),0)+SUM(E18:E23)</f>
        <v>0</v>
      </c>
      <c r="F17" s="88" t="str">
        <f>IF(VLOOKUP(convertString(B17, "item"),Items!$A$14:$X$432,19,FALSE)&lt;&gt;"",VLOOKUP(convertString(B17, "item"),Items!$A$14:$X$432,19,FALSE),"")</f>
        <v/>
      </c>
      <c r="G17" s="118" t="str">
        <f>IF(VLOOKUP(convertString(B17, "item"),Items!$A$14:$X$432,20,FALSE)&lt;&gt;0,VLOOKUP(convertString(B17, "item"),Items!$A$14:$X$432,20,FALSE),"")</f>
        <v/>
      </c>
      <c r="H17" s="9" t="str">
        <f>IF(VLOOKUP(convertString(B17, "item"),Items!$A$14:$X$432,21,FALSE)&lt;&gt;"",VLOOKUP(convertString(B17, "item"),Items!$A$14:$X$432,21,FALSE),"")</f>
        <v/>
      </c>
      <c r="I17" s="88" t="str">
        <f>IF(VLOOKUP(convertString(B17, "item"),Items!$A$14:$X$432,22,FALSE)&lt;&gt;"",VLOOKUP(convertString(B17, "item"),Items!$A$14:$X$432,22,FALSE),"")</f>
        <v/>
      </c>
      <c r="J17" s="161" t="str">
        <f>IF(VLOOKUP(convertString(B17, "item"),Items!$A$14:$X$432,23,FALSE)&lt;&gt;"",VLOOKUP(convertString(B17, "item"),Items!$A$14:$X$432,23,FALSE),"")</f>
        <v/>
      </c>
      <c r="K17" s="9" t="str">
        <f>IF(VLOOKUP(convertString(B17, "item"),Items!$A$14:$X$432,24,FALSE)&lt;&gt;"",VLOOKUP(convertString(B17, "item"),Items!$A$14:$X$432,24,FALSE),"")</f>
        <v/>
      </c>
      <c r="L17" s="88" t="str">
        <f>IF(IF(convertString(B17, "suffix")&lt;&gt;"",VLOOKUP(convertString(B17, "suffix"),Items!$A$544:$Z$612,19,FALSE),"")&lt;&gt;"",IF(convertString(B17, "suffix")&lt;&gt;"",VLOOKUP(convertString(B17, "suffix"),Items!$A$544:$Z$612,19,FALSE),""),"")</f>
        <v/>
      </c>
      <c r="M17" s="9" t="str">
        <f>IF(IF(convertString(B17, "suffix")&lt;&gt;"",VLOOKUP(convertString(B17, "suffix"),Items!$A$544:$Z$612,20,FALSE),"")&lt;&gt;"",IF(convertString(B17, "suffix")&lt;&gt;"",VLOOKUP(convertString(B17, "suffix"),Items!$A$544:$Z$612,20,FALSE),""),"")</f>
        <v/>
      </c>
      <c r="N17" s="9" t="str">
        <f>IF(IF(convertString(B17, "suffix")&lt;&gt;"",VLOOKUP(convertString(B17, "suffix"),Items!$A$544:$Z$612,21,FALSE),"")&lt;&gt;"",IF(convertString(B17, "suffix")&lt;&gt;"",VLOOKUP(convertString(B17, "suffix"),Items!$A$544:$Z$612,21,FALSE),""),"")</f>
        <v/>
      </c>
      <c r="O17" s="88" t="str">
        <f>IF(IF(convertString(B17, "prefix")&lt;&gt;"",VLOOKUP(convertString(B17, "prefix"),Items!$A$544:$Z$612,19,FALSE),"")&lt;&gt;"",IF(convertString(B17, "prefix")&lt;&gt;"",VLOOKUP(convertString(B17, "prefix"),Items!$A$544:$Z$612,19,FALSE),""),"")</f>
        <v/>
      </c>
      <c r="P17" s="127" t="str">
        <f>IF(IF(convertString(B17, "prefix")&lt;&gt;"",VLOOKUP(convertString(B17, "prefix"),Items!$A$544:$Z$612,20,FALSE),"")&lt;&gt;"",IF(convertString(B17, "prefix")&lt;&gt;"",VLOOKUP(convertString(B17, "prefix"),Items!$A$544:$Z$612,20,FALSE),""),"")</f>
        <v/>
      </c>
      <c r="Q17" s="1" t="str">
        <f>IF(IF(convertString(B17, "prefix")&lt;&gt;"",VLOOKUP(convertString(B17, "prefix"),Items!$A$544:$Z$612,21,FALSE),"")&lt;&gt;"",IF(convertString(B17, "prefix")&lt;&gt;"",VLOOKUP(convertString(B17, "prefix"),Items!$A$544:$Z$612,21,FALSE),""),"")</f>
        <v/>
      </c>
    </row>
    <row r="18" spans="1:17" hidden="1">
      <c r="A18" s="172" t="s">
        <v>1146</v>
      </c>
      <c r="B18" s="52"/>
      <c r="C18" s="22" t="str">
        <f>IF(B18&lt;&gt;"",VLOOKUP(B18,Items!$A$616:$X$640,15,FALSE),"")</f>
        <v/>
      </c>
      <c r="D18" s="22" t="str">
        <f>IF(B18&lt;&gt;"",VLOOKUP(B18,Items!$A$616:$X$640,16,FALSE),"")</f>
        <v/>
      </c>
      <c r="E18" s="13" t="str">
        <f>IF(B18&lt;&gt;"",VLOOKUP(B18,Items!$A$616:$X$640,17,FALSE),"")</f>
        <v/>
      </c>
      <c r="F18" s="127" t="str">
        <f>IF(B18&lt;&gt;"",IF(VLOOKUP(B18,Items!$A$616:$X$640,19,FALSE)&lt;&gt;0,VLOOKUP(B18,Items!$A$616:$X$640,19,FALSE),""),"")</f>
        <v/>
      </c>
      <c r="G18" s="161" t="str">
        <f>IF(B18&lt;&gt;"",IF(VLOOKUP(B18,Items!$A$616:$X$640,20,FALSE)&lt;&gt;0,VLOOKUP(B18,Items!$A$616:$X$640,20,FALSE),""),"")</f>
        <v/>
      </c>
      <c r="H18" s="9" t="str">
        <f>IF(B18&lt;&gt;"",IF(VLOOKUP(B18,Items!$A$616:$X$640,21,FALSE)&lt;&gt;0,VLOOKUP(B18,Items!$A$616:$X$640,21,FALSE),""),"")</f>
        <v/>
      </c>
      <c r="I18" s="88" t="str">
        <f>IF(B18&lt;&gt;"",IF(VLOOKUP(B18,Items!$A$616:$X$640,22,FALSE)&lt;&gt;0,VLOOKUP(B18,Items!$A$616:$X$640,22,FALSE),""),"")</f>
        <v/>
      </c>
      <c r="J18" s="9" t="str">
        <f>IF(B18&lt;&gt;"",IF(VLOOKUP(B18,Items!$A$616:$X$640,23,FALSE)&lt;&gt;0,VLOOKUP(B18,Items!$A$616:$X$640,23,FALSE),""),"")</f>
        <v/>
      </c>
      <c r="K18" s="1" t="str">
        <f>IF(B18&lt;&gt;"",IF(VLOOKUP(B18,Items!$A$616:$X$640,24,FALSE)&lt;&gt;0,VLOOKUP(B18,Items!$A$616:$X$640,24,FALSE),""),"")</f>
        <v/>
      </c>
      <c r="L18" s="88"/>
      <c r="M18" s="9"/>
      <c r="N18" s="9"/>
      <c r="O18" s="88"/>
      <c r="P18" s="127"/>
      <c r="Q18" s="1"/>
    </row>
    <row r="19" spans="1:17" hidden="1">
      <c r="A19" s="172" t="s">
        <v>1147</v>
      </c>
      <c r="B19" s="52"/>
      <c r="C19" s="22" t="str">
        <f>IF(B19&lt;&gt;"",VLOOKUP(B19,Items!$A$616:$X$640,15,FALSE),"")</f>
        <v/>
      </c>
      <c r="D19" s="22" t="str">
        <f>IF(B19&lt;&gt;"",VLOOKUP(B19,Items!$A$616:$X$640,16,FALSE),"")</f>
        <v/>
      </c>
      <c r="E19" s="13" t="str">
        <f>IF(B19&lt;&gt;"",VLOOKUP(B19,Items!$A$616:$X$640,17,FALSE),"")</f>
        <v/>
      </c>
      <c r="F19" s="127" t="str">
        <f>IF(B19&lt;&gt;"",IF(VLOOKUP(B19,Items!$A$616:$X$640,19,FALSE)&lt;&gt;0,VLOOKUP(B19,Items!$A$616:$X$640,19,FALSE),""),"")</f>
        <v/>
      </c>
      <c r="G19" s="161" t="str">
        <f>IF(B19&lt;&gt;"",IF(VLOOKUP(B19,Items!$A$616:$X$640,20,FALSE)&lt;&gt;0,VLOOKUP(B19,Items!$A$616:$X$640,20,FALSE),""),"")</f>
        <v/>
      </c>
      <c r="H19" s="9" t="str">
        <f>IF(B19&lt;&gt;"",IF(VLOOKUP(B19,Items!$A$616:$X$640,21,FALSE)&lt;&gt;0,VLOOKUP(B19,Items!$A$616:$X$640,21,FALSE),""),"")</f>
        <v/>
      </c>
      <c r="I19" s="88" t="str">
        <f>IF(B19&lt;&gt;"",IF(VLOOKUP(B19,Items!$A$616:$X$640,22,FALSE)&lt;&gt;0,VLOOKUP(B19,Items!$A$616:$X$640,22,FALSE),""),"")</f>
        <v/>
      </c>
      <c r="J19" s="9" t="str">
        <f>IF(B19&lt;&gt;"",IF(VLOOKUP(B19,Items!$A$616:$X$640,23,FALSE)&lt;&gt;0,VLOOKUP(B19,Items!$A$616:$X$640,23,FALSE),""),"")</f>
        <v/>
      </c>
      <c r="K19" s="1" t="str">
        <f>IF(B19&lt;&gt;"",IF(VLOOKUP(B19,Items!$A$616:$X$640,24,FALSE)&lt;&gt;0,VLOOKUP(B19,Items!$A$616:$X$640,24,FALSE),""),"")</f>
        <v/>
      </c>
      <c r="L19" s="88"/>
      <c r="M19" s="9"/>
      <c r="N19" s="9"/>
      <c r="O19" s="88"/>
      <c r="P19" s="127"/>
      <c r="Q19" s="1"/>
    </row>
    <row r="20" spans="1:17" hidden="1">
      <c r="A20" s="172" t="s">
        <v>1148</v>
      </c>
      <c r="B20" s="52"/>
      <c r="C20" s="22" t="str">
        <f>IF(B20&lt;&gt;"",VLOOKUP(B20,Items!$A$616:$X$640,15,FALSE),"")</f>
        <v/>
      </c>
      <c r="D20" s="22" t="str">
        <f>IF(B20&lt;&gt;"",VLOOKUP(B20,Items!$A$616:$X$640,16,FALSE),"")</f>
        <v/>
      </c>
      <c r="E20" s="13" t="str">
        <f>IF(B20&lt;&gt;"",VLOOKUP(B20,Items!$A$616:$X$640,17,FALSE),"")</f>
        <v/>
      </c>
      <c r="F20" s="127" t="str">
        <f>IF(B20&lt;&gt;"",IF(VLOOKUP(B20,Items!$A$616:$X$640,19,FALSE)&lt;&gt;0,VLOOKUP(B20,Items!$A$616:$X$640,19,FALSE),""),"")</f>
        <v/>
      </c>
      <c r="G20" s="161" t="str">
        <f>IF(B20&lt;&gt;"",IF(VLOOKUP(B20,Items!$A$616:$X$640,20,FALSE)&lt;&gt;0,VLOOKUP(B20,Items!$A$616:$X$640,20,FALSE),""),"")</f>
        <v/>
      </c>
      <c r="H20" s="9" t="str">
        <f>IF(B20&lt;&gt;"",IF(VLOOKUP(B20,Items!$A$616:$X$640,21,FALSE)&lt;&gt;0,VLOOKUP(B20,Items!$A$616:$X$640,21,FALSE),""),"")</f>
        <v/>
      </c>
      <c r="I20" s="88" t="str">
        <f>IF(B20&lt;&gt;"",IF(VLOOKUP(B20,Items!$A$616:$X$640,22,FALSE)&lt;&gt;0,VLOOKUP(B20,Items!$A$616:$X$640,22,FALSE),""),"")</f>
        <v/>
      </c>
      <c r="J20" s="9" t="str">
        <f>IF(B20&lt;&gt;"",IF(VLOOKUP(B20,Items!$A$616:$X$640,23,FALSE)&lt;&gt;0,VLOOKUP(B20,Items!$A$616:$X$640,23,FALSE),""),"")</f>
        <v/>
      </c>
      <c r="K20" s="1" t="str">
        <f>IF(B20&lt;&gt;"",IF(VLOOKUP(B20,Items!$A$616:$X$640,24,FALSE)&lt;&gt;0,VLOOKUP(B20,Items!$A$616:$X$640,24,FALSE),""),"")</f>
        <v/>
      </c>
      <c r="L20" s="88"/>
      <c r="M20" s="9"/>
      <c r="N20" s="9"/>
      <c r="O20" s="88"/>
      <c r="P20" s="127"/>
      <c r="Q20" s="1"/>
    </row>
    <row r="21" spans="1:17" hidden="1">
      <c r="A21" s="172" t="s">
        <v>1149</v>
      </c>
      <c r="B21" s="52"/>
      <c r="C21" s="22" t="str">
        <f>IF(B21&lt;&gt;"",VLOOKUP(B21,Items!$A$616:$X$640,15,FALSE),"")</f>
        <v/>
      </c>
      <c r="D21" s="22" t="str">
        <f>IF(B21&lt;&gt;"",VLOOKUP(B21,Items!$A$616:$X$640,16,FALSE),"")</f>
        <v/>
      </c>
      <c r="E21" s="13" t="str">
        <f>IF(B21&lt;&gt;"",VLOOKUP(B21,Items!$A$616:$X$640,17,FALSE),"")</f>
        <v/>
      </c>
      <c r="F21" s="127" t="str">
        <f>IF(B21&lt;&gt;"",IF(VLOOKUP(B21,Items!$A$616:$X$640,19,FALSE)&lt;&gt;0,VLOOKUP(B21,Items!$A$616:$X$640,19,FALSE),""),"")</f>
        <v/>
      </c>
      <c r="G21" s="161" t="str">
        <f>IF(B21&lt;&gt;"",IF(VLOOKUP(B21,Items!$A$616:$X$640,20,FALSE)&lt;&gt;0,VLOOKUP(B21,Items!$A$616:$X$640,20,FALSE),""),"")</f>
        <v/>
      </c>
      <c r="H21" s="9" t="str">
        <f>IF(B21&lt;&gt;"",IF(VLOOKUP(B21,Items!$A$616:$X$640,21,FALSE)&lt;&gt;0,VLOOKUP(B21,Items!$A$616:$X$640,21,FALSE),""),"")</f>
        <v/>
      </c>
      <c r="I21" s="88" t="str">
        <f>IF(B21&lt;&gt;"",IF(VLOOKUP(B21,Items!$A$616:$X$640,22,FALSE)&lt;&gt;0,VLOOKUP(B21,Items!$A$616:$X$640,22,FALSE),""),"")</f>
        <v/>
      </c>
      <c r="J21" s="9" t="str">
        <f>IF(B21&lt;&gt;"",IF(VLOOKUP(B21,Items!$A$616:$X$640,23,FALSE)&lt;&gt;0,VLOOKUP(B21,Items!$A$616:$X$640,23,FALSE),""),"")</f>
        <v/>
      </c>
      <c r="K21" s="1" t="str">
        <f>IF(B21&lt;&gt;"",IF(VLOOKUP(B21,Items!$A$616:$X$640,24,FALSE)&lt;&gt;0,VLOOKUP(B21,Items!$A$616:$X$640,24,FALSE),""),"")</f>
        <v/>
      </c>
      <c r="L21" s="88"/>
      <c r="M21" s="9"/>
      <c r="N21" s="9"/>
      <c r="O21" s="88"/>
      <c r="P21" s="127"/>
      <c r="Q21" s="1"/>
    </row>
    <row r="22" spans="1:17" hidden="1">
      <c r="A22" s="172" t="s">
        <v>1150</v>
      </c>
      <c r="B22" s="52"/>
      <c r="C22" s="22" t="str">
        <f>IF(B22&lt;&gt;"",VLOOKUP(B22,Items!$A$616:$X$640,15,FALSE),"")</f>
        <v/>
      </c>
      <c r="D22" s="22" t="str">
        <f>IF(B22&lt;&gt;"",VLOOKUP(B22,Items!$A$616:$X$640,16,FALSE),"")</f>
        <v/>
      </c>
      <c r="E22" s="13" t="str">
        <f>IF(B22&lt;&gt;"",VLOOKUP(B22,Items!$A$616:$X$640,17,FALSE),"")</f>
        <v/>
      </c>
      <c r="F22" s="127" t="str">
        <f>IF(B22&lt;&gt;"",IF(VLOOKUP(B22,Items!$A$616:$X$640,19,FALSE)&lt;&gt;0,VLOOKUP(B22,Items!$A$616:$X$640,19,FALSE),""),"")</f>
        <v/>
      </c>
      <c r="G22" s="161" t="str">
        <f>IF(B22&lt;&gt;"",IF(VLOOKUP(B22,Items!$A$616:$X$640,20,FALSE)&lt;&gt;0,VLOOKUP(B22,Items!$A$616:$X$640,20,FALSE),""),"")</f>
        <v/>
      </c>
      <c r="H22" s="9" t="str">
        <f>IF(B22&lt;&gt;"",IF(VLOOKUP(B22,Items!$A$616:$X$640,21,FALSE)&lt;&gt;0,VLOOKUP(B22,Items!$A$616:$X$640,21,FALSE),""),"")</f>
        <v/>
      </c>
      <c r="I22" s="88" t="str">
        <f>IF(B22&lt;&gt;"",IF(VLOOKUP(B22,Items!$A$616:$X$640,22,FALSE)&lt;&gt;0,VLOOKUP(B22,Items!$A$616:$X$640,22,FALSE),""),"")</f>
        <v/>
      </c>
      <c r="J22" s="9" t="str">
        <f>IF(B22&lt;&gt;"",IF(VLOOKUP(B22,Items!$A$616:$X$640,23,FALSE)&lt;&gt;0,VLOOKUP(B22,Items!$A$616:$X$640,23,FALSE),""),"")</f>
        <v/>
      </c>
      <c r="K22" s="1" t="str">
        <f>IF(B22&lt;&gt;"",IF(VLOOKUP(B22,Items!$A$616:$X$640,24,FALSE)&lt;&gt;0,VLOOKUP(B22,Items!$A$616:$X$640,24,FALSE),""),"")</f>
        <v/>
      </c>
      <c r="L22" s="88"/>
      <c r="M22" s="9"/>
      <c r="N22" s="9"/>
      <c r="O22" s="88"/>
      <c r="P22" s="127"/>
      <c r="Q22" s="1"/>
    </row>
    <row r="23" spans="1:17" hidden="1">
      <c r="A23" s="172" t="s">
        <v>1151</v>
      </c>
      <c r="B23" s="52"/>
      <c r="C23" s="22" t="str">
        <f>IF(B23&lt;&gt;"",VLOOKUP(B23,Items!$A$616:$X$640,15,FALSE),"")</f>
        <v/>
      </c>
      <c r="D23" s="22" t="str">
        <f>IF(B23&lt;&gt;"",VLOOKUP(B23,Items!$A$616:$X$640,16,FALSE),"")</f>
        <v/>
      </c>
      <c r="E23" s="13" t="str">
        <f>IF(B23&lt;&gt;"",VLOOKUP(B23,Items!$A$616:$X$640,17,FALSE),"")</f>
        <v/>
      </c>
      <c r="F23" s="127" t="str">
        <f>IF(B23&lt;&gt;"",IF(VLOOKUP(B23,Items!$A$616:$X$640,19,FALSE)&lt;&gt;0,VLOOKUP(B23,Items!$A$616:$X$640,19,FALSE),""),"")</f>
        <v/>
      </c>
      <c r="G23" s="161" t="str">
        <f>IF(B23&lt;&gt;"",IF(VLOOKUP(B23,Items!$A$616:$X$640,20,FALSE)&lt;&gt;0,VLOOKUP(B23,Items!$A$616:$X$640,20,FALSE),""),"")</f>
        <v/>
      </c>
      <c r="H23" s="9" t="str">
        <f>IF(B23&lt;&gt;"",IF(VLOOKUP(B23,Items!$A$616:$X$640,21,FALSE)&lt;&gt;0,VLOOKUP(B23,Items!$A$616:$X$640,21,FALSE),""),"")</f>
        <v/>
      </c>
      <c r="I23" s="88" t="str">
        <f>IF(B23&lt;&gt;"",IF(VLOOKUP(B23,Items!$A$616:$X$640,22,FALSE)&lt;&gt;0,VLOOKUP(B23,Items!$A$616:$X$640,22,FALSE),""),"")</f>
        <v/>
      </c>
      <c r="J23" s="9" t="str">
        <f>IF(B23&lt;&gt;"",IF(VLOOKUP(B23,Items!$A$616:$X$640,23,FALSE)&lt;&gt;0,VLOOKUP(B23,Items!$A$616:$X$640,23,FALSE),""),"")</f>
        <v/>
      </c>
      <c r="K23" s="1" t="str">
        <f>IF(B23&lt;&gt;"",IF(VLOOKUP(B23,Items!$A$616:$X$640,24,FALSE)&lt;&gt;0,VLOOKUP(B23,Items!$A$616:$X$640,24,FALSE),""),"")</f>
        <v/>
      </c>
      <c r="L23" s="88"/>
      <c r="M23" s="9"/>
      <c r="N23" s="9"/>
      <c r="O23" s="88"/>
      <c r="P23" s="127"/>
      <c r="Q23" s="1"/>
    </row>
    <row r="24" spans="1:17">
      <c r="A24" s="47" t="s">
        <v>567</v>
      </c>
      <c r="B24" s="52" t="s">
        <v>331</v>
      </c>
      <c r="C24" s="22">
        <f>IF(convertString(B24, "prefix")&lt;&gt;"",VLOOKUP(convertString(B24, "prefix"),Items!$A$544:$Z$612,15,FALSE),0) + IF(convertString(B24, "item")&lt;&gt;"",VLOOKUP(convertString(B24, "item"),Items!$A$14:$X$432,15,FALSE),0) + IF(convertString(B24, "suffix")&lt;&gt;"",VLOOKUP(convertString(B24, "suffix"),Items!$A$544:$Z$612,15,FALSE),0) + SUM(C25:C30)</f>
        <v>0</v>
      </c>
      <c r="D24" s="22">
        <f>IF(convertString(B24, "prefix")&lt;&gt;"",VLOOKUP(convertString(B24, "prefix"),Items!$A$544:$Z$612,16,FALSE),0) + IF(convertString(B24, "item")&lt;&gt;"",VLOOKUP(convertString(B24, "item"),Items!$A$14:$X$432,16,FALSE),0) + IF(convertString(B24, "suffix")&lt;&gt;"",VLOOKUP(convertString(B24, "suffix"),Items!$A$544:$Z$612,16,FALSE),0)+SUM(D25:D30)</f>
        <v>1</v>
      </c>
      <c r="E24" s="22">
        <f>IF(convertString(B24, "prefix")&lt;&gt;"",VLOOKUP(convertString(B24, "prefix"),Items!$A$544:$Z$612,17,FALSE),0) + IF(convertString(B24, "item")&lt;&gt;"",VLOOKUP(convertString(B24, "item"),Items!$A$14:$X$432,17,FALSE),0) + IF(convertString(B24, "suffix")&lt;&gt;"",VLOOKUP(convertString(B24, "suffix"),Items!$A$544:$Z$612,17,FALSE),0)+SUM(E25:E30)</f>
        <v>1</v>
      </c>
      <c r="F24" s="88">
        <f>IF(VLOOKUP(convertString(B24, "item"),Items!$A$14:$X$432,19,FALSE)&lt;&gt;"",VLOOKUP(convertString(B24, "item"),Items!$A$14:$X$432,19,FALSE),"")</f>
        <v>0.02</v>
      </c>
      <c r="G24" s="118" t="str">
        <f>IF(VLOOKUP(convertString(B24, "item"),Items!$A$14:$X$432,20,FALSE)&lt;&gt;0,VLOOKUP(convertString(B24, "item"),Items!$A$14:$X$432,20,FALSE),"")</f>
        <v>Spy</v>
      </c>
      <c r="H24" s="9" t="str">
        <f>IF(VLOOKUP(convertString(B24, "item"),Items!$A$14:$X$432,21,FALSE)&lt;&gt;"",VLOOKUP(convertString(B24, "item"),Items!$A$14:$X$432,21,FALSE),"")</f>
        <v>Both</v>
      </c>
      <c r="I24" s="88" t="str">
        <f>IF(VLOOKUP(convertString(B24, "item"),Items!$A$14:$X$432,22,FALSE)&lt;&gt;"",VLOOKUP(convertString(B24, "item"),Items!$A$14:$X$432,22,FALSE),"")</f>
        <v/>
      </c>
      <c r="J24" s="161" t="str">
        <f>IF(VLOOKUP(convertString(B24, "item"),Items!$A$14:$X$432,23,FALSE)&lt;&gt;"",VLOOKUP(convertString(B24, "item"),Items!$A$14:$X$432,23,FALSE),"")</f>
        <v/>
      </c>
      <c r="K24" s="9" t="str">
        <f>IF(VLOOKUP(convertString(B24, "item"),Items!$A$14:$X$432,24,FALSE)&lt;&gt;"",VLOOKUP(convertString(B24, "item"),Items!$A$14:$X$432,24,FALSE),"")</f>
        <v/>
      </c>
      <c r="L24" s="88" t="str">
        <f>IF(IF(convertString(B24, "suffix")&lt;&gt;"",VLOOKUP(convertString(B24, "suffix"),Items!$A$544:$Z$612,19,FALSE),"")&lt;&gt;"",IF(convertString(B24, "suffix")&lt;&gt;"",VLOOKUP(convertString(B24, "suffix"),Items!$A$544:$Z$612,19,FALSE),""),"")</f>
        <v/>
      </c>
      <c r="M24" s="9" t="str">
        <f>IF(IF(convertString(B24, "suffix")&lt;&gt;"",VLOOKUP(convertString(B24, "suffix"),Items!$A$544:$Z$612,20,FALSE),"")&lt;&gt;"",IF(convertString(B24, "suffix")&lt;&gt;"",VLOOKUP(convertString(B24, "suffix"),Items!$A$544:$Z$612,20,FALSE),""),"")</f>
        <v/>
      </c>
      <c r="N24" s="9" t="str">
        <f>IF(IF(convertString(B24, "suffix")&lt;&gt;"",VLOOKUP(convertString(B24, "suffix"),Items!$A$544:$Z$612,21,FALSE),"")&lt;&gt;"",IF(convertString(B24, "suffix")&lt;&gt;"",VLOOKUP(convertString(B24, "suffix"),Items!$A$544:$Z$612,21,FALSE),""),"")</f>
        <v/>
      </c>
      <c r="O24" s="88" t="str">
        <f>IF(IF(convertString(B24, "prefix")&lt;&gt;"",VLOOKUP(convertString(B24, "prefix"),Items!$A$544:$Z$612,19,FALSE),"")&lt;&gt;"",IF(convertString(B24, "prefix")&lt;&gt;"",VLOOKUP(convertString(B24, "prefix"),Items!$A$544:$Z$612,19,FALSE),""),"")</f>
        <v/>
      </c>
      <c r="P24" s="127" t="str">
        <f>IF(IF(convertString(B24, "prefix")&lt;&gt;"",VLOOKUP(convertString(B24, "prefix"),Items!$A$544:$Z$612,20,FALSE),"")&lt;&gt;"",IF(convertString(B24, "prefix")&lt;&gt;"",VLOOKUP(convertString(B24, "prefix"),Items!$A$544:$Z$612,20,FALSE),""),"")</f>
        <v/>
      </c>
      <c r="Q24" s="1" t="str">
        <f>IF(IF(convertString(B24, "prefix")&lt;&gt;"",VLOOKUP(convertString(B24, "prefix"),Items!$A$544:$Z$612,21,FALSE),"")&lt;&gt;"",IF(convertString(B24, "prefix")&lt;&gt;"",VLOOKUP(convertString(B24, "prefix"),Items!$A$544:$Z$612,21,FALSE),""),"")</f>
        <v/>
      </c>
    </row>
    <row r="25" spans="1:17" hidden="1">
      <c r="A25" s="172" t="s">
        <v>1146</v>
      </c>
      <c r="B25" s="52"/>
      <c r="C25" s="22" t="str">
        <f>IF(B25&lt;&gt;"",VLOOKUP(B25,Items!$A$616:$X$640,15,FALSE),"")</f>
        <v/>
      </c>
      <c r="D25" s="22" t="str">
        <f>IF(B25&lt;&gt;"",VLOOKUP(B25,Items!$A$616:$X$640,16,FALSE),"")</f>
        <v/>
      </c>
      <c r="E25" s="13" t="str">
        <f>IF(B25&lt;&gt;"",VLOOKUP(B25,Items!$A$616:$X$640,17,FALSE),"")</f>
        <v/>
      </c>
      <c r="F25" s="127" t="str">
        <f>IF(B25&lt;&gt;"",IF(VLOOKUP(B25,Items!$A$616:$X$640,19,FALSE)&lt;&gt;0,VLOOKUP(B25,Items!$A$616:$X$640,19,FALSE),""),"")</f>
        <v/>
      </c>
      <c r="G25" s="161" t="str">
        <f>IF(B25&lt;&gt;"",IF(VLOOKUP(B25,Items!$A$616:$X$640,20,FALSE)&lt;&gt;0,VLOOKUP(B25,Items!$A$616:$X$640,20,FALSE),""),"")</f>
        <v/>
      </c>
      <c r="H25" s="9" t="str">
        <f>IF(B25&lt;&gt;"",IF(VLOOKUP(B25,Items!$A$616:$X$640,21,FALSE)&lt;&gt;0,VLOOKUP(B25,Items!$A$616:$X$640,21,FALSE),""),"")</f>
        <v/>
      </c>
      <c r="I25" s="88" t="str">
        <f>IF(B25&lt;&gt;"",IF(VLOOKUP(B25,Items!$A$616:$X$640,22,FALSE)&lt;&gt;0,VLOOKUP(B25,Items!$A$616:$X$640,22,FALSE),""),"")</f>
        <v/>
      </c>
      <c r="J25" s="9" t="str">
        <f>IF(B25&lt;&gt;"",IF(VLOOKUP(B25,Items!$A$616:$X$640,23,FALSE)&lt;&gt;0,VLOOKUP(B25,Items!$A$616:$X$640,23,FALSE),""),"")</f>
        <v/>
      </c>
      <c r="K25" s="1" t="str">
        <f>IF(B25&lt;&gt;"",IF(VLOOKUP(B25,Items!$A$616:$X$640,24,FALSE)&lt;&gt;0,VLOOKUP(B25,Items!$A$616:$X$640,24,FALSE),""),"")</f>
        <v/>
      </c>
      <c r="L25" s="88"/>
      <c r="M25" s="9"/>
      <c r="N25" s="9"/>
      <c r="O25" s="88"/>
      <c r="P25" s="127"/>
      <c r="Q25" s="1"/>
    </row>
    <row r="26" spans="1:17" hidden="1">
      <c r="A26" s="172" t="s">
        <v>1147</v>
      </c>
      <c r="B26" s="52"/>
      <c r="C26" s="22" t="str">
        <f>IF(B26&lt;&gt;"",VLOOKUP(B26,Items!$A$616:$X$640,15,FALSE),"")</f>
        <v/>
      </c>
      <c r="D26" s="22" t="str">
        <f>IF(B26&lt;&gt;"",VLOOKUP(B26,Items!$A$616:$X$640,16,FALSE),"")</f>
        <v/>
      </c>
      <c r="E26" s="13" t="str">
        <f>IF(B26&lt;&gt;"",VLOOKUP(B26,Items!$A$616:$X$640,17,FALSE),"")</f>
        <v/>
      </c>
      <c r="F26" s="127" t="str">
        <f>IF(B26&lt;&gt;"",IF(VLOOKUP(B26,Items!$A$616:$X$640,19,FALSE)&lt;&gt;0,VLOOKUP(B26,Items!$A$616:$X$640,19,FALSE),""),"")</f>
        <v/>
      </c>
      <c r="G26" s="161" t="str">
        <f>IF(B26&lt;&gt;"",IF(VLOOKUP(B26,Items!$A$616:$X$640,20,FALSE)&lt;&gt;0,VLOOKUP(B26,Items!$A$616:$X$640,20,FALSE),""),"")</f>
        <v/>
      </c>
      <c r="H26" s="9" t="str">
        <f>IF(B26&lt;&gt;"",IF(VLOOKUP(B26,Items!$A$616:$X$640,21,FALSE)&lt;&gt;0,VLOOKUP(B26,Items!$A$616:$X$640,21,FALSE),""),"")</f>
        <v/>
      </c>
      <c r="I26" s="88" t="str">
        <f>IF(B26&lt;&gt;"",IF(VLOOKUP(B26,Items!$A$616:$X$640,22,FALSE)&lt;&gt;0,VLOOKUP(B26,Items!$A$616:$X$640,22,FALSE),""),"")</f>
        <v/>
      </c>
      <c r="J26" s="9" t="str">
        <f>IF(B26&lt;&gt;"",IF(VLOOKUP(B26,Items!$A$616:$X$640,23,FALSE)&lt;&gt;0,VLOOKUP(B26,Items!$A$616:$X$640,23,FALSE),""),"")</f>
        <v/>
      </c>
      <c r="K26" s="1" t="str">
        <f>IF(B26&lt;&gt;"",IF(VLOOKUP(B26,Items!$A$616:$X$640,24,FALSE)&lt;&gt;0,VLOOKUP(B26,Items!$A$616:$X$640,24,FALSE),""),"")</f>
        <v/>
      </c>
      <c r="L26" s="88"/>
      <c r="M26" s="9"/>
      <c r="N26" s="9"/>
      <c r="O26" s="88"/>
      <c r="P26" s="127"/>
      <c r="Q26" s="1"/>
    </row>
    <row r="27" spans="1:17" hidden="1">
      <c r="A27" s="172" t="s">
        <v>1148</v>
      </c>
      <c r="B27" s="52"/>
      <c r="C27" s="22" t="str">
        <f>IF(B27&lt;&gt;"",VLOOKUP(B27,Items!$A$616:$X$640,15,FALSE),"")</f>
        <v/>
      </c>
      <c r="D27" s="22" t="str">
        <f>IF(B27&lt;&gt;"",VLOOKUP(B27,Items!$A$616:$X$640,16,FALSE),"")</f>
        <v/>
      </c>
      <c r="E27" s="13" t="str">
        <f>IF(B27&lt;&gt;"",VLOOKUP(B27,Items!$A$616:$X$640,17,FALSE),"")</f>
        <v/>
      </c>
      <c r="F27" s="127" t="str">
        <f>IF(B27&lt;&gt;"",IF(VLOOKUP(B27,Items!$A$616:$X$640,19,FALSE)&lt;&gt;0,VLOOKUP(B27,Items!$A$616:$X$640,19,FALSE),""),"")</f>
        <v/>
      </c>
      <c r="G27" s="161" t="str">
        <f>IF(B27&lt;&gt;"",IF(VLOOKUP(B27,Items!$A$616:$X$640,20,FALSE)&lt;&gt;0,VLOOKUP(B27,Items!$A$616:$X$640,20,FALSE),""),"")</f>
        <v/>
      </c>
      <c r="H27" s="9" t="str">
        <f>IF(B27&lt;&gt;"",IF(VLOOKUP(B27,Items!$A$616:$X$640,21,FALSE)&lt;&gt;0,VLOOKUP(B27,Items!$A$616:$X$640,21,FALSE),""),"")</f>
        <v/>
      </c>
      <c r="I27" s="88" t="str">
        <f>IF(B27&lt;&gt;"",IF(VLOOKUP(B27,Items!$A$616:$X$640,22,FALSE)&lt;&gt;0,VLOOKUP(B27,Items!$A$616:$X$640,22,FALSE),""),"")</f>
        <v/>
      </c>
      <c r="J27" s="9" t="str">
        <f>IF(B27&lt;&gt;"",IF(VLOOKUP(B27,Items!$A$616:$X$640,23,FALSE)&lt;&gt;0,VLOOKUP(B27,Items!$A$616:$X$640,23,FALSE),""),"")</f>
        <v/>
      </c>
      <c r="K27" s="1" t="str">
        <f>IF(B27&lt;&gt;"",IF(VLOOKUP(B27,Items!$A$616:$X$640,24,FALSE)&lt;&gt;0,VLOOKUP(B27,Items!$A$616:$X$640,24,FALSE),""),"")</f>
        <v/>
      </c>
      <c r="L27" s="88"/>
      <c r="M27" s="9"/>
      <c r="N27" s="9"/>
      <c r="O27" s="88"/>
      <c r="P27" s="127"/>
      <c r="Q27" s="1"/>
    </row>
    <row r="28" spans="1:17" hidden="1">
      <c r="A28" s="172" t="s">
        <v>1149</v>
      </c>
      <c r="B28" s="52"/>
      <c r="C28" s="22" t="str">
        <f>IF(B28&lt;&gt;"",VLOOKUP(B28,Items!$A$616:$X$640,15,FALSE),"")</f>
        <v/>
      </c>
      <c r="D28" s="22" t="str">
        <f>IF(B28&lt;&gt;"",VLOOKUP(B28,Items!$A$616:$X$640,16,FALSE),"")</f>
        <v/>
      </c>
      <c r="E28" s="13" t="str">
        <f>IF(B28&lt;&gt;"",VLOOKUP(B28,Items!$A$616:$X$640,17,FALSE),"")</f>
        <v/>
      </c>
      <c r="F28" s="127" t="str">
        <f>IF(B28&lt;&gt;"",IF(VLOOKUP(B28,Items!$A$616:$X$640,19,FALSE)&lt;&gt;0,VLOOKUP(B28,Items!$A$616:$X$640,19,FALSE),""),"")</f>
        <v/>
      </c>
      <c r="G28" s="161" t="str">
        <f>IF(B28&lt;&gt;"",IF(VLOOKUP(B28,Items!$A$616:$X$640,20,FALSE)&lt;&gt;0,VLOOKUP(B28,Items!$A$616:$X$640,20,FALSE),""),"")</f>
        <v/>
      </c>
      <c r="H28" s="9" t="str">
        <f>IF(B28&lt;&gt;"",IF(VLOOKUP(B28,Items!$A$616:$X$640,21,FALSE)&lt;&gt;0,VLOOKUP(B28,Items!$A$616:$X$640,21,FALSE),""),"")</f>
        <v/>
      </c>
      <c r="I28" s="88" t="str">
        <f>IF(B28&lt;&gt;"",IF(VLOOKUP(B28,Items!$A$616:$X$640,22,FALSE)&lt;&gt;0,VLOOKUP(B28,Items!$A$616:$X$640,22,FALSE),""),"")</f>
        <v/>
      </c>
      <c r="J28" s="9" t="str">
        <f>IF(B28&lt;&gt;"",IF(VLOOKUP(B28,Items!$A$616:$X$640,23,FALSE)&lt;&gt;0,VLOOKUP(B28,Items!$A$616:$X$640,23,FALSE),""),"")</f>
        <v/>
      </c>
      <c r="K28" s="1" t="str">
        <f>IF(B28&lt;&gt;"",IF(VLOOKUP(B28,Items!$A$616:$X$640,24,FALSE)&lt;&gt;0,VLOOKUP(B28,Items!$A$616:$X$640,24,FALSE),""),"")</f>
        <v/>
      </c>
      <c r="L28" s="88"/>
      <c r="M28" s="9"/>
      <c r="N28" s="9"/>
      <c r="O28" s="88"/>
      <c r="P28" s="127"/>
      <c r="Q28" s="1"/>
    </row>
    <row r="29" spans="1:17" hidden="1">
      <c r="A29" s="172" t="s">
        <v>1150</v>
      </c>
      <c r="B29" s="52"/>
      <c r="C29" s="22" t="str">
        <f>IF(B29&lt;&gt;"",VLOOKUP(B29,Items!$A$616:$X$640,15,FALSE),"")</f>
        <v/>
      </c>
      <c r="D29" s="22" t="str">
        <f>IF(B29&lt;&gt;"",VLOOKUP(B29,Items!$A$616:$X$640,16,FALSE),"")</f>
        <v/>
      </c>
      <c r="E29" s="13" t="str">
        <f>IF(B29&lt;&gt;"",VLOOKUP(B29,Items!$A$616:$X$640,17,FALSE),"")</f>
        <v/>
      </c>
      <c r="F29" s="127" t="str">
        <f>IF(B29&lt;&gt;"",IF(VLOOKUP(B29,Items!$A$616:$X$640,19,FALSE)&lt;&gt;0,VLOOKUP(B29,Items!$A$616:$X$640,19,FALSE),""),"")</f>
        <v/>
      </c>
      <c r="G29" s="161" t="str">
        <f>IF(B29&lt;&gt;"",IF(VLOOKUP(B29,Items!$A$616:$X$640,20,FALSE)&lt;&gt;0,VLOOKUP(B29,Items!$A$616:$X$640,20,FALSE),""),"")</f>
        <v/>
      </c>
      <c r="H29" s="9" t="str">
        <f>IF(B29&lt;&gt;"",IF(VLOOKUP(B29,Items!$A$616:$X$640,21,FALSE)&lt;&gt;0,VLOOKUP(B29,Items!$A$616:$X$640,21,FALSE),""),"")</f>
        <v/>
      </c>
      <c r="I29" s="88" t="str">
        <f>IF(B29&lt;&gt;"",IF(VLOOKUP(B29,Items!$A$616:$X$640,22,FALSE)&lt;&gt;0,VLOOKUP(B29,Items!$A$616:$X$640,22,FALSE),""),"")</f>
        <v/>
      </c>
      <c r="J29" s="9" t="str">
        <f>IF(B29&lt;&gt;"",IF(VLOOKUP(B29,Items!$A$616:$X$640,23,FALSE)&lt;&gt;0,VLOOKUP(B29,Items!$A$616:$X$640,23,FALSE),""),"")</f>
        <v/>
      </c>
      <c r="K29" s="1" t="str">
        <f>IF(B29&lt;&gt;"",IF(VLOOKUP(B29,Items!$A$616:$X$640,24,FALSE)&lt;&gt;0,VLOOKUP(B29,Items!$A$616:$X$640,24,FALSE),""),"")</f>
        <v/>
      </c>
      <c r="L29" s="88"/>
      <c r="M29" s="9"/>
      <c r="N29" s="9"/>
      <c r="O29" s="88"/>
      <c r="P29" s="127"/>
      <c r="Q29" s="1"/>
    </row>
    <row r="30" spans="1:17" hidden="1">
      <c r="A30" s="172" t="s">
        <v>1151</v>
      </c>
      <c r="B30" s="52"/>
      <c r="C30" s="22" t="str">
        <f>IF(B30&lt;&gt;"",VLOOKUP(B30,Items!$A$616:$X$640,15,FALSE),"")</f>
        <v/>
      </c>
      <c r="D30" s="22" t="str">
        <f>IF(B30&lt;&gt;"",VLOOKUP(B30,Items!$A$616:$X$640,16,FALSE),"")</f>
        <v/>
      </c>
      <c r="E30" s="13" t="str">
        <f>IF(B30&lt;&gt;"",VLOOKUP(B30,Items!$A$616:$X$640,17,FALSE),"")</f>
        <v/>
      </c>
      <c r="F30" s="127" t="str">
        <f>IF(B30&lt;&gt;"",IF(VLOOKUP(B30,Items!$A$616:$X$640,19,FALSE)&lt;&gt;0,VLOOKUP(B30,Items!$A$616:$X$640,19,FALSE),""),"")</f>
        <v/>
      </c>
      <c r="G30" s="161" t="str">
        <f>IF(B30&lt;&gt;"",IF(VLOOKUP(B30,Items!$A$616:$X$640,20,FALSE)&lt;&gt;0,VLOOKUP(B30,Items!$A$616:$X$640,20,FALSE),""),"")</f>
        <v/>
      </c>
      <c r="H30" s="9" t="str">
        <f>IF(B30&lt;&gt;"",IF(VLOOKUP(B30,Items!$A$616:$X$640,21,FALSE)&lt;&gt;0,VLOOKUP(B30,Items!$A$616:$X$640,21,FALSE),""),"")</f>
        <v/>
      </c>
      <c r="I30" s="88" t="str">
        <f>IF(B30&lt;&gt;"",IF(VLOOKUP(B30,Items!$A$616:$X$640,22,FALSE)&lt;&gt;0,VLOOKUP(B30,Items!$A$616:$X$640,22,FALSE),""),"")</f>
        <v/>
      </c>
      <c r="J30" s="9" t="str">
        <f>IF(B30&lt;&gt;"",IF(VLOOKUP(B30,Items!$A$616:$X$640,23,FALSE)&lt;&gt;0,VLOOKUP(B30,Items!$A$616:$X$640,23,FALSE),""),"")</f>
        <v/>
      </c>
      <c r="K30" s="1" t="str">
        <f>IF(B30&lt;&gt;"",IF(VLOOKUP(B30,Items!$A$616:$X$640,24,FALSE)&lt;&gt;0,VLOOKUP(B30,Items!$A$616:$X$640,24,FALSE),""),"")</f>
        <v/>
      </c>
      <c r="L30" s="88"/>
      <c r="M30" s="9"/>
      <c r="N30" s="9"/>
      <c r="O30" s="88"/>
      <c r="P30" s="127"/>
      <c r="Q30" s="1"/>
    </row>
    <row r="31" spans="1:17">
      <c r="A31" s="46" t="s">
        <v>633</v>
      </c>
      <c r="B31" s="100">
        <f>F31*100+C32+D32+E32+1</f>
        <v>1</v>
      </c>
      <c r="C31" s="22"/>
      <c r="D31" s="22"/>
      <c r="E31" s="41"/>
      <c r="F31" s="88">
        <v>0</v>
      </c>
      <c r="G31" s="9" t="str">
        <f>VLOOKUP(B2,Misc!$AA$38:$AE$46,2,FALSE)</f>
        <v>Spy</v>
      </c>
      <c r="H31" s="2" t="s">
        <v>572</v>
      </c>
      <c r="I31" s="88"/>
      <c r="J31" s="9"/>
      <c r="K31" s="1"/>
      <c r="L31" s="46"/>
      <c r="M31" s="22"/>
      <c r="N31" s="9"/>
      <c r="O31" s="145"/>
      <c r="P31" s="9"/>
      <c r="Q31" s="1"/>
    </row>
    <row r="32" spans="1:17">
      <c r="A32" s="46" t="s">
        <v>632</v>
      </c>
      <c r="C32" s="23">
        <v>0</v>
      </c>
      <c r="D32" s="23">
        <v>0</v>
      </c>
      <c r="E32" s="23">
        <v>0</v>
      </c>
      <c r="F32" s="86"/>
      <c r="G32" s="9"/>
      <c r="H32" s="9"/>
      <c r="I32" s="89"/>
      <c r="J32" s="9"/>
      <c r="K32" s="1"/>
      <c r="L32" s="319"/>
      <c r="M32" s="320"/>
      <c r="N32" s="142" t="s">
        <v>561</v>
      </c>
      <c r="O32" s="90" t="s">
        <v>562</v>
      </c>
      <c r="P32" s="91" t="s">
        <v>563</v>
      </c>
      <c r="Q32" s="144"/>
    </row>
    <row r="33" spans="1:17">
      <c r="A33" s="47" t="s">
        <v>634</v>
      </c>
      <c r="B33" s="9"/>
      <c r="C33" s="22">
        <f>C32*2+SUM(C3:C8)</f>
        <v>0</v>
      </c>
      <c r="D33" s="22">
        <f>D32*2+SUM(D3:D8)</f>
        <v>0</v>
      </c>
      <c r="E33" s="22">
        <f>E32*2+SUM(E3:E8)</f>
        <v>0</v>
      </c>
      <c r="F33" s="83" t="s">
        <v>818</v>
      </c>
      <c r="G33" s="120" t="str">
        <f>convertPercentage(F3:Q31,"Fight",IF(L32="",'Stats Scores'!$AP$2,L32))</f>
        <v>0%</v>
      </c>
      <c r="H33" s="53" t="s">
        <v>825</v>
      </c>
      <c r="I33" s="120" t="str">
        <f>convertPercentage(F3:Q31,"Barter",IF(L32="",'Stats Scores'!$AP$2,L32))</f>
        <v>0%</v>
      </c>
      <c r="J33" s="44" t="s">
        <v>827</v>
      </c>
      <c r="K33" s="123" t="str">
        <f>convertPercentage(F3:Q31,"Spy",IF(L32="",'Stats Scores'!$AP$2,L32))</f>
        <v>2%</v>
      </c>
      <c r="L33" s="321" t="s">
        <v>819</v>
      </c>
      <c r="M33" s="322"/>
      <c r="N33" s="95">
        <f>ROUNDUP(getscore(C35,G33,"Fight",L32),0)</f>
        <v>4</v>
      </c>
      <c r="O33" s="95">
        <f>ROUNDUP(getscore(D35,I33,"Barter",L32),0)</f>
        <v>16</v>
      </c>
      <c r="P33" s="82">
        <f>ROUNDUP(getscore(E35,K33,"Spy",L32),0)</f>
        <v>16</v>
      </c>
      <c r="Q33" s="143"/>
    </row>
    <row r="34" spans="1:17">
      <c r="B34" s="2"/>
      <c r="C34" s="22"/>
      <c r="D34" s="22"/>
      <c r="E34" s="22"/>
      <c r="F34" s="83" t="s">
        <v>753</v>
      </c>
      <c r="G34" s="121" t="str">
        <f>convertPercentage(F3:Q31,"Harass",IF(L32="",'Stats Scores'!$AP$2,L32))</f>
        <v>0%</v>
      </c>
      <c r="H34" s="2" t="s">
        <v>829</v>
      </c>
      <c r="I34" s="121" t="str">
        <f>convertPercentage(F3:Q31,"Swindle",IF(L32="",'Stats Scores'!$AP$2,L32))</f>
        <v>0%</v>
      </c>
      <c r="J34" s="9" t="s">
        <v>828</v>
      </c>
      <c r="K34" s="124" t="str">
        <f>convertPercentage(F3:Q31,"Sabotage",IF(L32="",'Stats Scores'!$AP$2,L32))</f>
        <v>3%</v>
      </c>
      <c r="L34" s="321" t="s">
        <v>820</v>
      </c>
      <c r="M34" s="322"/>
      <c r="N34" s="95">
        <f>ROUNDUP(getscore(C35,G34,"Harass",L32),0)</f>
        <v>4</v>
      </c>
      <c r="O34" s="95">
        <f>ROUNDUP(getscore(D35,I34,"Swindle",L32),0)</f>
        <v>16</v>
      </c>
      <c r="P34" s="82">
        <f>ROUNDUP(getscore(E35,K34,"Sabotage",L32),0)</f>
        <v>16</v>
      </c>
      <c r="Q34" s="143"/>
    </row>
    <row r="35" spans="1:17">
      <c r="A35" s="56" t="s">
        <v>635</v>
      </c>
      <c r="B35" s="20"/>
      <c r="C35" s="33">
        <f>C9+C10+C17+C24+C33</f>
        <v>0</v>
      </c>
      <c r="D35" s="33">
        <f t="shared" ref="D35:E35" si="0">D9+D10+D17+D24+D33</f>
        <v>3</v>
      </c>
      <c r="E35" s="33">
        <f t="shared" si="0"/>
        <v>5</v>
      </c>
      <c r="F35" s="84" t="s">
        <v>824</v>
      </c>
      <c r="G35" s="122" t="str">
        <f>convertPercentage(F3:Q31,"Aid",IF(L32="",'Stats Scores'!$AP$2,L32))</f>
        <v>0%</v>
      </c>
      <c r="H35" s="20" t="s">
        <v>826</v>
      </c>
      <c r="I35" s="122" t="str">
        <f>convertPercentage(F3:Q31,"Bribe",IF(L32="",'Stats Scores'!$AP$2,L32))</f>
        <v>0%</v>
      </c>
      <c r="J35" s="20" t="s">
        <v>830</v>
      </c>
      <c r="K35" s="125" t="str">
        <f>convertPercentage(F3:Q31,"Steal",IF(L32="",'Stats Scores'!$AP$2,L32))</f>
        <v>0%</v>
      </c>
      <c r="L35" s="317" t="s">
        <v>821</v>
      </c>
      <c r="M35" s="318"/>
      <c r="N35" s="131">
        <f>ROUNDUP(getscore(C35,G35,"Aid",L32),0)</f>
        <v>4</v>
      </c>
      <c r="O35" s="131">
        <f>ROUNDUP(getscore(D35,I35,"Bribe",L32),0)</f>
        <v>22</v>
      </c>
      <c r="P35" s="132">
        <f>ROUNDUP(getscore(E35,K35,"Steal",L32),0)</f>
        <v>15</v>
      </c>
      <c r="Q35" s="111"/>
    </row>
    <row r="36" spans="1:17">
      <c r="A36" s="197"/>
      <c r="B36" s="9"/>
      <c r="C36" s="22"/>
      <c r="D36" s="22"/>
      <c r="E36" s="22"/>
      <c r="F36" s="31"/>
      <c r="G36" s="121"/>
      <c r="H36" s="9"/>
      <c r="I36" s="121"/>
      <c r="J36" s="9"/>
      <c r="K36" s="121"/>
      <c r="L36" s="162"/>
      <c r="M36" s="162"/>
      <c r="N36" s="95"/>
      <c r="O36" s="95"/>
      <c r="P36" s="95"/>
      <c r="Q36" s="9"/>
    </row>
    <row r="37" spans="1:17" ht="23.25" customHeight="1">
      <c r="A37" s="171" t="s">
        <v>1209</v>
      </c>
      <c r="B37" s="113" t="s">
        <v>399</v>
      </c>
      <c r="C37" s="43"/>
      <c r="D37" s="43"/>
      <c r="E37" s="43"/>
      <c r="F37" s="85"/>
      <c r="G37" s="44"/>
      <c r="H37" s="44"/>
      <c r="I37" s="87"/>
      <c r="J37" s="44"/>
      <c r="K37" s="45"/>
      <c r="L37" s="87"/>
      <c r="M37" s="44"/>
      <c r="N37" s="44"/>
      <c r="O37" s="87"/>
      <c r="P37" s="44"/>
      <c r="Q37" s="45"/>
    </row>
    <row r="38" spans="1:17" hidden="1">
      <c r="A38" s="172" t="s">
        <v>1146</v>
      </c>
      <c r="B38" s="52"/>
      <c r="C38" s="22" t="str">
        <f>IF(B38&lt;&gt;"",VLOOKUP(B38,Items!$A$616:$X$640,15,FALSE),"")</f>
        <v/>
      </c>
      <c r="D38" s="22" t="str">
        <f>IF(B38&lt;&gt;"",VLOOKUP(B38,Items!$A$616:$X$640,16,FALSE),"")</f>
        <v/>
      </c>
      <c r="E38" s="13" t="str">
        <f>IF(B38&lt;&gt;"",VLOOKUP(B38,Items!$A$616:$X$640,17,FALSE),"")</f>
        <v/>
      </c>
      <c r="F38" s="127" t="str">
        <f>IF(B38&lt;&gt;"",IF(VLOOKUP(B38,Items!$A$616:$X$640,19,FALSE)&lt;&gt;0,VLOOKUP(B38,Items!$A$616:$X$640,19,FALSE),""),"")</f>
        <v/>
      </c>
      <c r="G38" s="161" t="str">
        <f>IF(B38&lt;&gt;"",IF(VLOOKUP(B38,Items!$A$616:$X$640,20,FALSE)&lt;&gt;0,VLOOKUP(B38,Items!$A$616:$X$640,20,FALSE),""),"")</f>
        <v/>
      </c>
      <c r="H38" s="9" t="str">
        <f>IF(B38&lt;&gt;"",IF(VLOOKUP(B38,Items!$A$616:$X$640,21,FALSE)&lt;&gt;0,VLOOKUP(B38,Items!$A$616:$X$640,21,FALSE),""),"")</f>
        <v/>
      </c>
      <c r="I38" s="88" t="str">
        <f>IF(B38&lt;&gt;"",IF(VLOOKUP(B38,Items!$A$616:$X$640,22,FALSE)&lt;&gt;0,VLOOKUP(B38,Items!$A$616:$X$640,22,FALSE),""),"")</f>
        <v/>
      </c>
      <c r="J38" s="9" t="str">
        <f>IF(B38&lt;&gt;"",IF(VLOOKUP(B38,Items!$A$616:$X$640,23,FALSE)&lt;&gt;0,VLOOKUP(B38,Items!$A$616:$X$640,23,FALSE),""),"")</f>
        <v/>
      </c>
      <c r="K38" s="1" t="str">
        <f>IF(B38&lt;&gt;"",IF(VLOOKUP(B38,Items!$A$616:$X$640,24,FALSE)&lt;&gt;0,VLOOKUP(B38,Items!$A$616:$X$640,24,FALSE),""),"")</f>
        <v/>
      </c>
      <c r="L38" s="46"/>
      <c r="M38" s="9"/>
      <c r="N38" s="9"/>
      <c r="O38" s="46"/>
      <c r="P38" s="9"/>
      <c r="Q38" s="1"/>
    </row>
    <row r="39" spans="1:17" hidden="1">
      <c r="A39" s="172" t="s">
        <v>1147</v>
      </c>
      <c r="B39" s="52"/>
      <c r="C39" s="22" t="str">
        <f>IF(B39&lt;&gt;"",VLOOKUP(B39,Items!$A$616:$X$640,15,FALSE),"")</f>
        <v/>
      </c>
      <c r="D39" s="22" t="str">
        <f>IF(B39&lt;&gt;"",VLOOKUP(B39,Items!$A$616:$X$640,16,FALSE),"")</f>
        <v/>
      </c>
      <c r="E39" s="13" t="str">
        <f>IF(B39&lt;&gt;"",VLOOKUP(B39,Items!$A$616:$X$640,17,FALSE),"")</f>
        <v/>
      </c>
      <c r="F39" s="127" t="str">
        <f>IF(B39&lt;&gt;"",IF(VLOOKUP(B39,Items!$A$616:$X$640,19,FALSE)&lt;&gt;0,VLOOKUP(B39,Items!$A$616:$X$640,19,FALSE),""),"")</f>
        <v/>
      </c>
      <c r="G39" s="161" t="str">
        <f>IF(B39&lt;&gt;"",IF(VLOOKUP(B39,Items!$A$616:$X$640,20,FALSE)&lt;&gt;0,VLOOKUP(B39,Items!$A$616:$X$640,20,FALSE),""),"")</f>
        <v/>
      </c>
      <c r="H39" s="9" t="str">
        <f>IF(B39&lt;&gt;"",IF(VLOOKUP(B39,Items!$A$616:$X$640,21,FALSE)&lt;&gt;0,VLOOKUP(B39,Items!$A$616:$X$640,21,FALSE),""),"")</f>
        <v/>
      </c>
      <c r="I39" s="88" t="str">
        <f>IF(B39&lt;&gt;"",IF(VLOOKUP(B39,Items!$A$616:$X$640,22,FALSE)&lt;&gt;0,VLOOKUP(B39,Items!$A$616:$X$640,22,FALSE),""),"")</f>
        <v/>
      </c>
      <c r="J39" s="9" t="str">
        <f>IF(B39&lt;&gt;"",IF(VLOOKUP(B39,Items!$A$616:$X$640,23,FALSE)&lt;&gt;0,VLOOKUP(B39,Items!$A$616:$X$640,23,FALSE),""),"")</f>
        <v/>
      </c>
      <c r="K39" s="1" t="str">
        <f>IF(B39&lt;&gt;"",IF(VLOOKUP(B39,Items!$A$616:$X$640,24,FALSE)&lt;&gt;0,VLOOKUP(B39,Items!$A$616:$X$640,24,FALSE),""),"")</f>
        <v/>
      </c>
      <c r="L39" s="46"/>
      <c r="M39" s="9"/>
      <c r="N39" s="9"/>
      <c r="O39" s="46"/>
      <c r="P39" s="9"/>
      <c r="Q39" s="1"/>
    </row>
    <row r="40" spans="1:17" hidden="1">
      <c r="A40" s="172" t="s">
        <v>1148</v>
      </c>
      <c r="B40" s="52"/>
      <c r="C40" s="22" t="str">
        <f>IF(B40&lt;&gt;"",VLOOKUP(B40,Items!$A$616:$X$640,15,FALSE),"")</f>
        <v/>
      </c>
      <c r="D40" s="22" t="str">
        <f>IF(B40&lt;&gt;"",VLOOKUP(B40,Items!$A$616:$X$640,16,FALSE),"")</f>
        <v/>
      </c>
      <c r="E40" s="13" t="str">
        <f>IF(B40&lt;&gt;"",VLOOKUP(B40,Items!$A$616:$X$640,17,FALSE),"")</f>
        <v/>
      </c>
      <c r="F40" s="127" t="str">
        <f>IF(B40&lt;&gt;"",IF(VLOOKUP(B40,Items!$A$616:$X$640,19,FALSE)&lt;&gt;0,VLOOKUP(B40,Items!$A$616:$X$640,19,FALSE),""),"")</f>
        <v/>
      </c>
      <c r="G40" s="161" t="str">
        <f>IF(B40&lt;&gt;"",IF(VLOOKUP(B40,Items!$A$616:$X$640,20,FALSE)&lt;&gt;0,VLOOKUP(B40,Items!$A$616:$X$640,20,FALSE),""),"")</f>
        <v/>
      </c>
      <c r="H40" s="9" t="str">
        <f>IF(B40&lt;&gt;"",IF(VLOOKUP(B40,Items!$A$616:$X$640,21,FALSE)&lt;&gt;0,VLOOKUP(B40,Items!$A$616:$X$640,21,FALSE),""),"")</f>
        <v/>
      </c>
      <c r="I40" s="88" t="str">
        <f>IF(B40&lt;&gt;"",IF(VLOOKUP(B40,Items!$A$616:$X$640,22,FALSE)&lt;&gt;0,VLOOKUP(B40,Items!$A$616:$X$640,22,FALSE),""),"")</f>
        <v/>
      </c>
      <c r="J40" s="9" t="str">
        <f>IF(B40&lt;&gt;"",IF(VLOOKUP(B40,Items!$A$616:$X$640,23,FALSE)&lt;&gt;0,VLOOKUP(B40,Items!$A$616:$X$640,23,FALSE),""),"")</f>
        <v/>
      </c>
      <c r="K40" s="1" t="str">
        <f>IF(B40&lt;&gt;"",IF(VLOOKUP(B40,Items!$A$616:$X$640,24,FALSE)&lt;&gt;0,VLOOKUP(B40,Items!$A$616:$X$640,24,FALSE),""),"")</f>
        <v/>
      </c>
      <c r="L40" s="46"/>
      <c r="M40" s="9"/>
      <c r="N40" s="9"/>
      <c r="O40" s="46"/>
      <c r="P40" s="9"/>
      <c r="Q40" s="1"/>
    </row>
    <row r="41" spans="1:17" hidden="1">
      <c r="A41" s="172" t="s">
        <v>1149</v>
      </c>
      <c r="B41" s="52"/>
      <c r="C41" s="22" t="str">
        <f>IF(B41&lt;&gt;"",VLOOKUP(B41,Items!$A$616:$X$640,15,FALSE),"")</f>
        <v/>
      </c>
      <c r="D41" s="22" t="str">
        <f>IF(B41&lt;&gt;"",VLOOKUP(B41,Items!$A$616:$X$640,16,FALSE),"")</f>
        <v/>
      </c>
      <c r="E41" s="13" t="str">
        <f>IF(B41&lt;&gt;"",VLOOKUP(B41,Items!$A$616:$X$640,17,FALSE),"")</f>
        <v/>
      </c>
      <c r="F41" s="127" t="str">
        <f>IF(B41&lt;&gt;"",IF(VLOOKUP(B41,Items!$A$616:$X$640,19,FALSE)&lt;&gt;0,VLOOKUP(B41,Items!$A$616:$X$640,19,FALSE),""),"")</f>
        <v/>
      </c>
      <c r="G41" s="161" t="str">
        <f>IF(B41&lt;&gt;"",IF(VLOOKUP(B41,Items!$A$616:$X$640,20,FALSE)&lt;&gt;0,VLOOKUP(B41,Items!$A$616:$X$640,20,FALSE),""),"")</f>
        <v/>
      </c>
      <c r="H41" s="9" t="str">
        <f>IF(B41&lt;&gt;"",IF(VLOOKUP(B41,Items!$A$616:$X$640,21,FALSE)&lt;&gt;0,VLOOKUP(B41,Items!$A$616:$X$640,21,FALSE),""),"")</f>
        <v/>
      </c>
      <c r="I41" s="88" t="str">
        <f>IF(B41&lt;&gt;"",IF(VLOOKUP(B41,Items!$A$616:$X$640,22,FALSE)&lt;&gt;0,VLOOKUP(B41,Items!$A$616:$X$640,22,FALSE),""),"")</f>
        <v/>
      </c>
      <c r="J41" s="9" t="str">
        <f>IF(B41&lt;&gt;"",IF(VLOOKUP(B41,Items!$A$616:$X$640,23,FALSE)&lt;&gt;0,VLOOKUP(B41,Items!$A$616:$X$640,23,FALSE),""),"")</f>
        <v/>
      </c>
      <c r="K41" s="1" t="str">
        <f>IF(B41&lt;&gt;"",IF(VLOOKUP(B41,Items!$A$616:$X$640,24,FALSE)&lt;&gt;0,VLOOKUP(B41,Items!$A$616:$X$640,24,FALSE),""),"")</f>
        <v/>
      </c>
      <c r="L41" s="46"/>
      <c r="M41" s="9"/>
      <c r="N41" s="9"/>
      <c r="O41" s="46"/>
      <c r="P41" s="9"/>
      <c r="Q41" s="1"/>
    </row>
    <row r="42" spans="1:17" hidden="1">
      <c r="A42" s="172" t="s">
        <v>1150</v>
      </c>
      <c r="B42" s="52"/>
      <c r="C42" s="22" t="str">
        <f>IF(B42&lt;&gt;"",VLOOKUP(B42,Items!$A$616:$X$640,15,FALSE),"")</f>
        <v/>
      </c>
      <c r="D42" s="22" t="str">
        <f>IF(B42&lt;&gt;"",VLOOKUP(B42,Items!$A$616:$X$640,16,FALSE),"")</f>
        <v/>
      </c>
      <c r="E42" s="13" t="str">
        <f>IF(B42&lt;&gt;"",VLOOKUP(B42,Items!$A$616:$X$640,17,FALSE),"")</f>
        <v/>
      </c>
      <c r="F42" s="127" t="str">
        <f>IF(B42&lt;&gt;"",IF(VLOOKUP(B42,Items!$A$616:$X$640,19,FALSE)&lt;&gt;0,VLOOKUP(B42,Items!$A$616:$X$640,19,FALSE),""),"")</f>
        <v/>
      </c>
      <c r="G42" s="161" t="str">
        <f>IF(B42&lt;&gt;"",IF(VLOOKUP(B42,Items!$A$616:$X$640,20,FALSE)&lt;&gt;0,VLOOKUP(B42,Items!$A$616:$X$640,20,FALSE),""),"")</f>
        <v/>
      </c>
      <c r="H42" s="9" t="str">
        <f>IF(B42&lt;&gt;"",IF(VLOOKUP(B42,Items!$A$616:$X$640,21,FALSE)&lt;&gt;0,VLOOKUP(B42,Items!$A$616:$X$640,21,FALSE),""),"")</f>
        <v/>
      </c>
      <c r="I42" s="88" t="str">
        <f>IF(B42&lt;&gt;"",IF(VLOOKUP(B42,Items!$A$616:$X$640,22,FALSE)&lt;&gt;0,VLOOKUP(B42,Items!$A$616:$X$640,22,FALSE),""),"")</f>
        <v/>
      </c>
      <c r="J42" s="9" t="str">
        <f>IF(B42&lt;&gt;"",IF(VLOOKUP(B42,Items!$A$616:$X$640,23,FALSE)&lt;&gt;0,VLOOKUP(B42,Items!$A$616:$X$640,23,FALSE),""),"")</f>
        <v/>
      </c>
      <c r="K42" s="1" t="str">
        <f>IF(B42&lt;&gt;"",IF(VLOOKUP(B42,Items!$A$616:$X$640,24,FALSE)&lt;&gt;0,VLOOKUP(B42,Items!$A$616:$X$640,24,FALSE),""),"")</f>
        <v/>
      </c>
      <c r="L42" s="46"/>
      <c r="M42" s="9"/>
      <c r="N42" s="9"/>
      <c r="O42" s="46"/>
      <c r="P42" s="9"/>
      <c r="Q42" s="1"/>
    </row>
    <row r="43" spans="1:17" hidden="1">
      <c r="A43" s="172" t="s">
        <v>1151</v>
      </c>
      <c r="B43" s="52"/>
      <c r="C43" s="22" t="str">
        <f>IF(B43&lt;&gt;"",VLOOKUP(B43,Items!$A$616:$X$640,15,FALSE),"")</f>
        <v/>
      </c>
      <c r="D43" s="22" t="str">
        <f>IF(B43&lt;&gt;"",VLOOKUP(B43,Items!$A$616:$X$640,16,FALSE),"")</f>
        <v/>
      </c>
      <c r="E43" s="13" t="str">
        <f>IF(B43&lt;&gt;"",VLOOKUP(B43,Items!$A$616:$X$640,17,FALSE),"")</f>
        <v/>
      </c>
      <c r="F43" s="127" t="str">
        <f>IF(B43&lt;&gt;"",IF(VLOOKUP(B43,Items!$A$616:$X$640,19,FALSE)&lt;&gt;0,VLOOKUP(B43,Items!$A$616:$X$640,19,FALSE),""),"")</f>
        <v/>
      </c>
      <c r="G43" s="161" t="str">
        <f>IF(B43&lt;&gt;"",IF(VLOOKUP(B43,Items!$A$616:$X$640,20,FALSE)&lt;&gt;0,VLOOKUP(B43,Items!$A$616:$X$640,20,FALSE),""),"")</f>
        <v/>
      </c>
      <c r="H43" s="9" t="str">
        <f>IF(B43&lt;&gt;"",IF(VLOOKUP(B43,Items!$A$616:$X$640,21,FALSE)&lt;&gt;0,VLOOKUP(B43,Items!$A$616:$X$640,21,FALSE),""),"")</f>
        <v/>
      </c>
      <c r="I43" s="88" t="str">
        <f>IF(B43&lt;&gt;"",IF(VLOOKUP(B43,Items!$A$616:$X$640,22,FALSE)&lt;&gt;0,VLOOKUP(B43,Items!$A$616:$X$640,22,FALSE),""),"")</f>
        <v/>
      </c>
      <c r="J43" s="9" t="str">
        <f>IF(B43&lt;&gt;"",IF(VLOOKUP(B43,Items!$A$616:$X$640,23,FALSE)&lt;&gt;0,VLOOKUP(B43,Items!$A$616:$X$640,23,FALSE),""),"")</f>
        <v/>
      </c>
      <c r="K43" s="1" t="str">
        <f>IF(B43&lt;&gt;"",IF(VLOOKUP(B43,Items!$A$616:$X$640,24,FALSE)&lt;&gt;0,VLOOKUP(B43,Items!$A$616:$X$640,24,FALSE),""),"")</f>
        <v/>
      </c>
      <c r="L43" s="46"/>
      <c r="M43" s="9"/>
      <c r="N43" s="9"/>
      <c r="O43" s="46"/>
      <c r="P43" s="9"/>
      <c r="Q43" s="1"/>
    </row>
    <row r="44" spans="1:17">
      <c r="A44" s="46" t="s">
        <v>631</v>
      </c>
      <c r="B44" s="52"/>
      <c r="C44" s="22">
        <v>0</v>
      </c>
      <c r="D44" s="22">
        <v>0</v>
      </c>
      <c r="E44" s="22">
        <v>1</v>
      </c>
      <c r="F44" s="88"/>
      <c r="G44" s="9"/>
      <c r="H44" s="9"/>
      <c r="I44" s="46"/>
      <c r="J44" s="9"/>
      <c r="K44" s="1"/>
      <c r="L44" s="46"/>
      <c r="M44" s="22"/>
      <c r="N44" s="9"/>
      <c r="O44" s="88"/>
      <c r="P44" s="22"/>
      <c r="Q44" s="1"/>
    </row>
    <row r="45" spans="1:17">
      <c r="A45" s="46" t="s">
        <v>565</v>
      </c>
      <c r="B45" s="52" t="s">
        <v>1145</v>
      </c>
      <c r="C45" s="22">
        <f>IF(convertString(B45, "prefix")&lt;&gt;"",VLOOKUP(convertString(B45, "prefix"),Items!$A$544:$Z$612,15,FALSE),0) + IF(convertString(B45, "item")&lt;&gt;"",VLOOKUP(convertString(B45, "item"),Items!$A$14:$X$432,15,FALSE),0) + IF(convertString(B45, "suffix")&lt;&gt;"",VLOOKUP(convertString(B45, "suffix"),Items!$A$544:$Z$612,15,FALSE),0) + SUM(C46:C51)</f>
        <v>0</v>
      </c>
      <c r="D45" s="22">
        <f>IF(convertString(B45, "prefix")&lt;&gt;"",VLOOKUP(convertString(B45, "prefix"),Items!$A$544:$Z$612,16,FALSE),0) + IF(convertString(B45, "item")&lt;&gt;"",VLOOKUP(convertString(B45, "item"),Items!$A$14:$X$432,16,FALSE),0) + IF(convertString(B45, "suffix")&lt;&gt;"",VLOOKUP(convertString(B45, "suffix"),Items!$A$544:$Z$612,16,FALSE),0)+SUM(D46:D51)</f>
        <v>0</v>
      </c>
      <c r="E45" s="22">
        <f>IF(convertString(B45, "prefix")&lt;&gt;"",VLOOKUP(convertString(B45, "prefix"),Items!$A$544:$Z$612,17,FALSE),0) + IF(convertString(B45, "item")&lt;&gt;"",VLOOKUP(convertString(B45, "item"),Items!$A$14:$X$432,17,FALSE),0) + IF(convertString(B45, "suffix")&lt;&gt;"",VLOOKUP(convertString(B45, "suffix"),Items!$A$544:$Z$612,17,FALSE),0)+SUM(E46:E51)</f>
        <v>0</v>
      </c>
      <c r="F45" s="88" t="str">
        <f>IF(VLOOKUP(convertString(B45, "item"),Items!$A$14:$X$432,19,FALSE)&lt;&gt;"",VLOOKUP(convertString(B45, "item"),Items!$A$14:$X$432,19,FALSE),"")</f>
        <v/>
      </c>
      <c r="G45" s="118" t="str">
        <f>IF(VLOOKUP(convertString(B45, "item"),Items!$A$14:$X$432,20,FALSE)&lt;&gt;0,VLOOKUP(convertString(B45, "item"),Items!$A$14:$X$432,20,FALSE),"")</f>
        <v/>
      </c>
      <c r="H45" s="9" t="str">
        <f>IF(VLOOKUP(convertString(B45, "item"),Items!$A$14:$X$432,21,FALSE)&lt;&gt;"",VLOOKUP(convertString(B45, "item"),Items!$A$14:$X$432,21,FALSE),"")</f>
        <v/>
      </c>
      <c r="I45" s="88" t="str">
        <f>IF(VLOOKUP(convertString(B45, "item"),Items!$A$14:$X$432,22,FALSE)&lt;&gt;"",VLOOKUP(convertString(B45, "item"),Items!$A$14:$X$432,22,FALSE),"")</f>
        <v/>
      </c>
      <c r="J45" s="161" t="str">
        <f>IF(VLOOKUP(convertString(B45, "item"),Items!$A$14:$X$432,23,FALSE)&lt;&gt;"",VLOOKUP(convertString(B45, "item"),Items!$A$14:$X$432,23,FALSE),"")</f>
        <v/>
      </c>
      <c r="K45" s="9" t="str">
        <f>IF(VLOOKUP(convertString(B45, "item"),Items!$A$14:$X$432,24,FALSE)&lt;&gt;"",VLOOKUP(convertString(B45, "item"),Items!$A$14:$X$432,24,FALSE),"")</f>
        <v/>
      </c>
      <c r="L45" s="88" t="str">
        <f>IF(IF(convertString(B45, "suffix")&lt;&gt;"",VLOOKUP(convertString(B45, "suffix"),Items!$A$544:$Z$612,19,FALSE),"")&lt;&gt;"",IF(convertString(B45, "suffix")&lt;&gt;"",VLOOKUP(convertString(B45, "suffix"),Items!$A$544:$Z$612,19,FALSE),""),"")</f>
        <v/>
      </c>
      <c r="M45" s="9" t="str">
        <f>IF(IF(convertString(B45, "suffix")&lt;&gt;"",VLOOKUP(convertString(B45, "suffix"),Items!$A$544:$Z$612,20,FALSE),"")&lt;&gt;"",IF(convertString(B45, "suffix")&lt;&gt;"",VLOOKUP(convertString(B45, "suffix"),Items!$A$544:$Z$612,20,FALSE),""),"")</f>
        <v/>
      </c>
      <c r="N45" s="9" t="str">
        <f>IF(IF(convertString(B45, "suffix")&lt;&gt;"",VLOOKUP(convertString(B45, "suffix"),Items!$A$544:$Z$612,21,FALSE),"")&lt;&gt;"",IF(convertString(B45, "suffix")&lt;&gt;"",VLOOKUP(convertString(B45, "suffix"),Items!$A$544:$Z$612,21,FALSE),""),"")</f>
        <v/>
      </c>
      <c r="O45" s="88" t="str">
        <f>IF(IF(convertString(B45, "prefix")&lt;&gt;"",VLOOKUP(convertString(B45, "prefix"),Items!$A$544:$Z$612,19,FALSE),"")&lt;&gt;"",IF(convertString(B45, "prefix")&lt;&gt;"",VLOOKUP(convertString(B45, "prefix"),Items!$A$544:$Z$612,19,FALSE),""),"")</f>
        <v/>
      </c>
      <c r="P45" s="127" t="str">
        <f>IF(IF(convertString(B45, "prefix")&lt;&gt;"",VLOOKUP(convertString(B45, "prefix"),Items!$A$544:$Z$612,20,FALSE),"")&lt;&gt;"",IF(convertString(B45, "prefix")&lt;&gt;"",VLOOKUP(convertString(B45, "prefix"),Items!$A$544:$Z$612,20,FALSE),""),"")</f>
        <v/>
      </c>
      <c r="Q45" s="1" t="str">
        <f>IF(IF(convertString(B45, "prefix")&lt;&gt;"",VLOOKUP(convertString(B45, "prefix"),Items!$A$544:$Z$612,21,FALSE),"")&lt;&gt;"",IF(convertString(B45, "prefix")&lt;&gt;"",VLOOKUP(convertString(B45, "prefix"),Items!$A$544:$Z$612,21,FALSE),""),"")</f>
        <v/>
      </c>
    </row>
    <row r="46" spans="1:17" hidden="1">
      <c r="A46" s="172" t="s">
        <v>1146</v>
      </c>
      <c r="B46" s="52"/>
      <c r="C46" s="22" t="str">
        <f>IF(B46&lt;&gt;"",VLOOKUP(B46,Items!$A$616:$X$640,15,FALSE),"")</f>
        <v/>
      </c>
      <c r="D46" s="22" t="str">
        <f>IF(B46&lt;&gt;"",VLOOKUP(B46,Items!$A$616:$X$640,16,FALSE),"")</f>
        <v/>
      </c>
      <c r="E46" s="13" t="str">
        <f>IF(B46&lt;&gt;"",VLOOKUP(B46,Items!$A$616:$X$640,17,FALSE),"")</f>
        <v/>
      </c>
      <c r="F46" s="127" t="str">
        <f>IF(B46&lt;&gt;"",IF(VLOOKUP(B46,Items!$A$616:$X$640,19,FALSE)&lt;&gt;0,VLOOKUP(B46,Items!$A$616:$X$640,19,FALSE),""),"")</f>
        <v/>
      </c>
      <c r="G46" s="161" t="str">
        <f>IF(B46&lt;&gt;"",IF(VLOOKUP(B46,Items!$A$616:$X$640,20,FALSE)&lt;&gt;0,VLOOKUP(B46,Items!$A$616:$X$640,20,FALSE),""),"")</f>
        <v/>
      </c>
      <c r="H46" s="9" t="str">
        <f>IF(B46&lt;&gt;"",IF(VLOOKUP(B46,Items!$A$616:$X$640,21,FALSE)&lt;&gt;0,VLOOKUP(B46,Items!$A$616:$X$640,21,FALSE),""),"")</f>
        <v/>
      </c>
      <c r="I46" s="88" t="str">
        <f>IF(B46&lt;&gt;"",IF(VLOOKUP(B46,Items!$A$616:$X$640,22,FALSE)&lt;&gt;0,VLOOKUP(B46,Items!$A$616:$X$640,22,FALSE),""),"")</f>
        <v/>
      </c>
      <c r="J46" s="9" t="str">
        <f>IF(B46&lt;&gt;"",IF(VLOOKUP(B46,Items!$A$616:$X$640,23,FALSE)&lt;&gt;0,VLOOKUP(B46,Items!$A$616:$X$640,23,FALSE),""),"")</f>
        <v/>
      </c>
      <c r="K46" s="1" t="str">
        <f>IF(B46&lt;&gt;"",IF(VLOOKUP(B46,Items!$A$616:$X$640,24,FALSE)&lt;&gt;0,VLOOKUP(B46,Items!$A$616:$X$640,24,FALSE),""),"")</f>
        <v/>
      </c>
      <c r="L46" s="88"/>
      <c r="M46" s="9"/>
      <c r="N46" s="9"/>
      <c r="O46" s="88"/>
      <c r="P46" s="127"/>
      <c r="Q46" s="1"/>
    </row>
    <row r="47" spans="1:17" hidden="1">
      <c r="A47" s="172" t="s">
        <v>1147</v>
      </c>
      <c r="B47" s="52"/>
      <c r="C47" s="22" t="str">
        <f>IF(B47&lt;&gt;"",VLOOKUP(B47,Items!$A$616:$X$640,15,FALSE),"")</f>
        <v/>
      </c>
      <c r="D47" s="22" t="str">
        <f>IF(B47&lt;&gt;"",VLOOKUP(B47,Items!$A$616:$X$640,16,FALSE),"")</f>
        <v/>
      </c>
      <c r="E47" s="13" t="str">
        <f>IF(B47&lt;&gt;"",VLOOKUP(B47,Items!$A$616:$X$640,17,FALSE),"")</f>
        <v/>
      </c>
      <c r="F47" s="127" t="str">
        <f>IF(B47&lt;&gt;"",IF(VLOOKUP(B47,Items!$A$616:$X$640,19,FALSE)&lt;&gt;0,VLOOKUP(B47,Items!$A$616:$X$640,19,FALSE),""),"")</f>
        <v/>
      </c>
      <c r="G47" s="161" t="str">
        <f>IF(B47&lt;&gt;"",IF(VLOOKUP(B47,Items!$A$616:$X$640,20,FALSE)&lt;&gt;0,VLOOKUP(B47,Items!$A$616:$X$640,20,FALSE),""),"")</f>
        <v/>
      </c>
      <c r="H47" s="9" t="str">
        <f>IF(B47&lt;&gt;"",IF(VLOOKUP(B47,Items!$A$616:$X$640,21,FALSE)&lt;&gt;0,VLOOKUP(B47,Items!$A$616:$X$640,21,FALSE),""),"")</f>
        <v/>
      </c>
      <c r="I47" s="88" t="str">
        <f>IF(B47&lt;&gt;"",IF(VLOOKUP(B47,Items!$A$616:$X$640,22,FALSE)&lt;&gt;0,VLOOKUP(B47,Items!$A$616:$X$640,22,FALSE),""),"")</f>
        <v/>
      </c>
      <c r="J47" s="9" t="str">
        <f>IF(B47&lt;&gt;"",IF(VLOOKUP(B47,Items!$A$616:$X$640,23,FALSE)&lt;&gt;0,VLOOKUP(B47,Items!$A$616:$X$640,23,FALSE),""),"")</f>
        <v/>
      </c>
      <c r="K47" s="1" t="str">
        <f>IF(B47&lt;&gt;"",IF(VLOOKUP(B47,Items!$A$616:$X$640,24,FALSE)&lt;&gt;0,VLOOKUP(B47,Items!$A$616:$X$640,24,FALSE),""),"")</f>
        <v/>
      </c>
      <c r="L47" s="88"/>
      <c r="M47" s="9"/>
      <c r="N47" s="9"/>
      <c r="O47" s="88"/>
      <c r="P47" s="127"/>
      <c r="Q47" s="1"/>
    </row>
    <row r="48" spans="1:17" hidden="1">
      <c r="A48" s="172" t="s">
        <v>1148</v>
      </c>
      <c r="B48" s="52"/>
      <c r="C48" s="22" t="str">
        <f>IF(B48&lt;&gt;"",VLOOKUP(B48,Items!$A$616:$X$640,15,FALSE),"")</f>
        <v/>
      </c>
      <c r="D48" s="22" t="str">
        <f>IF(B48&lt;&gt;"",VLOOKUP(B48,Items!$A$616:$X$640,16,FALSE),"")</f>
        <v/>
      </c>
      <c r="E48" s="13" t="str">
        <f>IF(B48&lt;&gt;"",VLOOKUP(B48,Items!$A$616:$X$640,17,FALSE),"")</f>
        <v/>
      </c>
      <c r="F48" s="127" t="str">
        <f>IF(B48&lt;&gt;"",IF(VLOOKUP(B48,Items!$A$616:$X$640,19,FALSE)&lt;&gt;0,VLOOKUP(B48,Items!$A$616:$X$640,19,FALSE),""),"")</f>
        <v/>
      </c>
      <c r="G48" s="161" t="str">
        <f>IF(B48&lt;&gt;"",IF(VLOOKUP(B48,Items!$A$616:$X$640,20,FALSE)&lt;&gt;0,VLOOKUP(B48,Items!$A$616:$X$640,20,FALSE),""),"")</f>
        <v/>
      </c>
      <c r="H48" s="9" t="str">
        <f>IF(B48&lt;&gt;"",IF(VLOOKUP(B48,Items!$A$616:$X$640,21,FALSE)&lt;&gt;0,VLOOKUP(B48,Items!$A$616:$X$640,21,FALSE),""),"")</f>
        <v/>
      </c>
      <c r="I48" s="88" t="str">
        <f>IF(B48&lt;&gt;"",IF(VLOOKUP(B48,Items!$A$616:$X$640,22,FALSE)&lt;&gt;0,VLOOKUP(B48,Items!$A$616:$X$640,22,FALSE),""),"")</f>
        <v/>
      </c>
      <c r="J48" s="9" t="str">
        <f>IF(B48&lt;&gt;"",IF(VLOOKUP(B48,Items!$A$616:$X$640,23,FALSE)&lt;&gt;0,VLOOKUP(B48,Items!$A$616:$X$640,23,FALSE),""),"")</f>
        <v/>
      </c>
      <c r="K48" s="1" t="str">
        <f>IF(B48&lt;&gt;"",IF(VLOOKUP(B48,Items!$A$616:$X$640,24,FALSE)&lt;&gt;0,VLOOKUP(B48,Items!$A$616:$X$640,24,FALSE),""),"")</f>
        <v/>
      </c>
      <c r="L48" s="88"/>
      <c r="M48" s="9"/>
      <c r="N48" s="9"/>
      <c r="O48" s="88"/>
      <c r="P48" s="127"/>
      <c r="Q48" s="1"/>
    </row>
    <row r="49" spans="1:17" hidden="1">
      <c r="A49" s="172" t="s">
        <v>1149</v>
      </c>
      <c r="B49" s="52"/>
      <c r="C49" s="22" t="str">
        <f>IF(B49&lt;&gt;"",VLOOKUP(B49,Items!$A$616:$X$640,15,FALSE),"")</f>
        <v/>
      </c>
      <c r="D49" s="22" t="str">
        <f>IF(B49&lt;&gt;"",VLOOKUP(B49,Items!$A$616:$X$640,16,FALSE),"")</f>
        <v/>
      </c>
      <c r="E49" s="13" t="str">
        <f>IF(B49&lt;&gt;"",VLOOKUP(B49,Items!$A$616:$X$640,17,FALSE),"")</f>
        <v/>
      </c>
      <c r="F49" s="127" t="str">
        <f>IF(B49&lt;&gt;"",IF(VLOOKUP(B49,Items!$A$616:$X$640,19,FALSE)&lt;&gt;0,VLOOKUP(B49,Items!$A$616:$X$640,19,FALSE),""),"")</f>
        <v/>
      </c>
      <c r="G49" s="161" t="str">
        <f>IF(B49&lt;&gt;"",IF(VLOOKUP(B49,Items!$A$616:$X$640,20,FALSE)&lt;&gt;0,VLOOKUP(B49,Items!$A$616:$X$640,20,FALSE),""),"")</f>
        <v/>
      </c>
      <c r="H49" s="9" t="str">
        <f>IF(B49&lt;&gt;"",IF(VLOOKUP(B49,Items!$A$616:$X$640,21,FALSE)&lt;&gt;0,VLOOKUP(B49,Items!$A$616:$X$640,21,FALSE),""),"")</f>
        <v/>
      </c>
      <c r="I49" s="88" t="str">
        <f>IF(B49&lt;&gt;"",IF(VLOOKUP(B49,Items!$A$616:$X$640,22,FALSE)&lt;&gt;0,VLOOKUP(B49,Items!$A$616:$X$640,22,FALSE),""),"")</f>
        <v/>
      </c>
      <c r="J49" s="9" t="str">
        <f>IF(B49&lt;&gt;"",IF(VLOOKUP(B49,Items!$A$616:$X$640,23,FALSE)&lt;&gt;0,VLOOKUP(B49,Items!$A$616:$X$640,23,FALSE),""),"")</f>
        <v/>
      </c>
      <c r="K49" s="1" t="str">
        <f>IF(B49&lt;&gt;"",IF(VLOOKUP(B49,Items!$A$616:$X$640,24,FALSE)&lt;&gt;0,VLOOKUP(B49,Items!$A$616:$X$640,24,FALSE),""),"")</f>
        <v/>
      </c>
      <c r="L49" s="88"/>
      <c r="M49" s="9"/>
      <c r="N49" s="9"/>
      <c r="O49" s="88"/>
      <c r="P49" s="127"/>
      <c r="Q49" s="1"/>
    </row>
    <row r="50" spans="1:17" hidden="1">
      <c r="A50" s="172" t="s">
        <v>1150</v>
      </c>
      <c r="B50" s="52"/>
      <c r="C50" s="22" t="str">
        <f>IF(B50&lt;&gt;"",VLOOKUP(B50,Items!$A$616:$X$640,15,FALSE),"")</f>
        <v/>
      </c>
      <c r="D50" s="22" t="str">
        <f>IF(B50&lt;&gt;"",VLOOKUP(B50,Items!$A$616:$X$640,16,FALSE),"")</f>
        <v/>
      </c>
      <c r="E50" s="13" t="str">
        <f>IF(B50&lt;&gt;"",VLOOKUP(B50,Items!$A$616:$X$640,17,FALSE),"")</f>
        <v/>
      </c>
      <c r="F50" s="127" t="str">
        <f>IF(B50&lt;&gt;"",IF(VLOOKUP(B50,Items!$A$616:$X$640,19,FALSE)&lt;&gt;0,VLOOKUP(B50,Items!$A$616:$X$640,19,FALSE),""),"")</f>
        <v/>
      </c>
      <c r="G50" s="161" t="str">
        <f>IF(B50&lt;&gt;"",IF(VLOOKUP(B50,Items!$A$616:$X$640,20,FALSE)&lt;&gt;0,VLOOKUP(B50,Items!$A$616:$X$640,20,FALSE),""),"")</f>
        <v/>
      </c>
      <c r="H50" s="9" t="str">
        <f>IF(B50&lt;&gt;"",IF(VLOOKUP(B50,Items!$A$616:$X$640,21,FALSE)&lt;&gt;0,VLOOKUP(B50,Items!$A$616:$X$640,21,FALSE),""),"")</f>
        <v/>
      </c>
      <c r="I50" s="88" t="str">
        <f>IF(B50&lt;&gt;"",IF(VLOOKUP(B50,Items!$A$616:$X$640,22,FALSE)&lt;&gt;0,VLOOKUP(B50,Items!$A$616:$X$640,22,FALSE),""),"")</f>
        <v/>
      </c>
      <c r="J50" s="9" t="str">
        <f>IF(B50&lt;&gt;"",IF(VLOOKUP(B50,Items!$A$616:$X$640,23,FALSE)&lt;&gt;0,VLOOKUP(B50,Items!$A$616:$X$640,23,FALSE),""),"")</f>
        <v/>
      </c>
      <c r="K50" s="1" t="str">
        <f>IF(B50&lt;&gt;"",IF(VLOOKUP(B50,Items!$A$616:$X$640,24,FALSE)&lt;&gt;0,VLOOKUP(B50,Items!$A$616:$X$640,24,FALSE),""),"")</f>
        <v/>
      </c>
      <c r="L50" s="88"/>
      <c r="M50" s="9"/>
      <c r="N50" s="9"/>
      <c r="O50" s="88"/>
      <c r="P50" s="127"/>
      <c r="Q50" s="1"/>
    </row>
    <row r="51" spans="1:17" hidden="1">
      <c r="A51" s="172" t="s">
        <v>1151</v>
      </c>
      <c r="B51" s="52"/>
      <c r="C51" s="22" t="str">
        <f>IF(B51&lt;&gt;"",VLOOKUP(B51,Items!$A$616:$X$640,15,FALSE),"")</f>
        <v/>
      </c>
      <c r="D51" s="22" t="str">
        <f>IF(B51&lt;&gt;"",VLOOKUP(B51,Items!$A$616:$X$640,16,FALSE),"")</f>
        <v/>
      </c>
      <c r="E51" s="13" t="str">
        <f>IF(B51&lt;&gt;"",VLOOKUP(B51,Items!$A$616:$X$640,17,FALSE),"")</f>
        <v/>
      </c>
      <c r="F51" s="127" t="str">
        <f>IF(B51&lt;&gt;"",IF(VLOOKUP(B51,Items!$A$616:$X$640,19,FALSE)&lt;&gt;0,VLOOKUP(B51,Items!$A$616:$X$640,19,FALSE),""),"")</f>
        <v/>
      </c>
      <c r="G51" s="161" t="str">
        <f>IF(B51&lt;&gt;"",IF(VLOOKUP(B51,Items!$A$616:$X$640,20,FALSE)&lt;&gt;0,VLOOKUP(B51,Items!$A$616:$X$640,20,FALSE),""),"")</f>
        <v/>
      </c>
      <c r="H51" s="9" t="str">
        <f>IF(B51&lt;&gt;"",IF(VLOOKUP(B51,Items!$A$616:$X$640,21,FALSE)&lt;&gt;0,VLOOKUP(B51,Items!$A$616:$X$640,21,FALSE),""),"")</f>
        <v/>
      </c>
      <c r="I51" s="88" t="str">
        <f>IF(B51&lt;&gt;"",IF(VLOOKUP(B51,Items!$A$616:$X$640,22,FALSE)&lt;&gt;0,VLOOKUP(B51,Items!$A$616:$X$640,22,FALSE),""),"")</f>
        <v/>
      </c>
      <c r="J51" s="9" t="str">
        <f>IF(B51&lt;&gt;"",IF(VLOOKUP(B51,Items!$A$616:$X$640,23,FALSE)&lt;&gt;0,VLOOKUP(B51,Items!$A$616:$X$640,23,FALSE),""),"")</f>
        <v/>
      </c>
      <c r="K51" s="1" t="str">
        <f>IF(B51&lt;&gt;"",IF(VLOOKUP(B51,Items!$A$616:$X$640,24,FALSE)&lt;&gt;0,VLOOKUP(B51,Items!$A$616:$X$640,24,FALSE),""),"")</f>
        <v/>
      </c>
      <c r="L51" s="88"/>
      <c r="M51" s="9"/>
      <c r="N51" s="9"/>
      <c r="O51" s="88"/>
      <c r="P51" s="127"/>
      <c r="Q51" s="1"/>
    </row>
    <row r="52" spans="1:17">
      <c r="A52" s="46" t="s">
        <v>570</v>
      </c>
      <c r="B52" s="52" t="s">
        <v>1145</v>
      </c>
      <c r="C52" s="22">
        <f>IF(convertString(B52, "prefix")&lt;&gt;"",VLOOKUP(convertString(B52, "prefix"),Items!$A$544:$Z$612,15,FALSE),0) + IF(convertString(B52, "item")&lt;&gt;"",VLOOKUP(convertString(B52, "item"),Items!$A$14:$X$432,15,FALSE),0) + IF(convertString(B52, "suffix")&lt;&gt;"",VLOOKUP(convertString(B52, "suffix"),Items!$A$544:$Z$612,15,FALSE),0) + SUM(C53:C58)</f>
        <v>0</v>
      </c>
      <c r="D52" s="22">
        <f>IF(convertString(B52, "prefix")&lt;&gt;"",VLOOKUP(convertString(B52, "prefix"),Items!$A$544:$Z$612,16,FALSE),0) + IF(convertString(B52, "item")&lt;&gt;"",VLOOKUP(convertString(B52, "item"),Items!$A$14:$X$432,16,FALSE),0) + IF(convertString(B52, "suffix")&lt;&gt;"",VLOOKUP(convertString(B52, "suffix"),Items!$A$544:$Z$612,16,FALSE),0)+SUM(D53:D58)</f>
        <v>0</v>
      </c>
      <c r="E52" s="22">
        <f>IF(convertString(B52, "prefix")&lt;&gt;"",VLOOKUP(convertString(B52, "prefix"),Items!$A$544:$Z$612,17,FALSE),0) + IF(convertString(B52, "item")&lt;&gt;"",VLOOKUP(convertString(B52, "item"),Items!$A$14:$X$432,17,FALSE),0) + IF(convertString(B52, "suffix")&lt;&gt;"",VLOOKUP(convertString(B52, "suffix"),Items!$A$544:$Z$612,17,FALSE),0)+SUM(E53:E58)</f>
        <v>0</v>
      </c>
      <c r="F52" s="88" t="str">
        <f>IF(VLOOKUP(convertString(B52, "item"),Items!$A$14:$X$432,19,FALSE)&lt;&gt;"",VLOOKUP(convertString(B52, "item"),Items!$A$14:$X$432,19,FALSE),"")</f>
        <v/>
      </c>
      <c r="G52" s="118" t="str">
        <f>IF(VLOOKUP(convertString(B52, "item"),Items!$A$14:$X$432,20,FALSE)&lt;&gt;0,VLOOKUP(convertString(B52, "item"),Items!$A$14:$X$432,20,FALSE),"")</f>
        <v/>
      </c>
      <c r="H52" s="9" t="str">
        <f>IF(VLOOKUP(convertString(B52, "item"),Items!$A$14:$X$432,21,FALSE)&lt;&gt;"",VLOOKUP(convertString(B52, "item"),Items!$A$14:$X$432,21,FALSE),"")</f>
        <v/>
      </c>
      <c r="I52" s="88" t="str">
        <f>IF(VLOOKUP(convertString(B52, "item"),Items!$A$14:$X$432,22,FALSE)&lt;&gt;"",VLOOKUP(convertString(B52, "item"),Items!$A$14:$X$432,22,FALSE),"")</f>
        <v/>
      </c>
      <c r="J52" s="161" t="str">
        <f>IF(VLOOKUP(convertString(B52, "item"),Items!$A$14:$X$432,23,FALSE)&lt;&gt;"",VLOOKUP(convertString(B52, "item"),Items!$A$14:$X$432,23,FALSE),"")</f>
        <v/>
      </c>
      <c r="K52" s="9" t="str">
        <f>IF(VLOOKUP(convertString(B52, "item"),Items!$A$14:$X$432,24,FALSE)&lt;&gt;"",VLOOKUP(convertString(B52, "item"),Items!$A$14:$X$432,24,FALSE),"")</f>
        <v/>
      </c>
      <c r="L52" s="88" t="str">
        <f>IF(IF(convertString(B52, "suffix")&lt;&gt;"",VLOOKUP(convertString(B52, "suffix"),Items!$A$544:$Z$612,19,FALSE),"")&lt;&gt;"",IF(convertString(B52, "suffix")&lt;&gt;"",VLOOKUP(convertString(B52, "suffix"),Items!$A$544:$Z$612,19,FALSE),""),"")</f>
        <v/>
      </c>
      <c r="M52" s="9" t="str">
        <f>IF(IF(convertString(B52, "suffix")&lt;&gt;"",VLOOKUP(convertString(B52, "suffix"),Items!$A$544:$Z$612,20,FALSE),"")&lt;&gt;"",IF(convertString(B52, "suffix")&lt;&gt;"",VLOOKUP(convertString(B52, "suffix"),Items!$A$544:$Z$612,20,FALSE),""),"")</f>
        <v/>
      </c>
      <c r="N52" s="9" t="str">
        <f>IF(IF(convertString(B52, "suffix")&lt;&gt;"",VLOOKUP(convertString(B52, "suffix"),Items!$A$544:$Z$612,21,FALSE),"")&lt;&gt;"",IF(convertString(B52, "suffix")&lt;&gt;"",VLOOKUP(convertString(B52, "suffix"),Items!$A$544:$Z$612,21,FALSE),""),"")</f>
        <v/>
      </c>
      <c r="O52" s="88" t="str">
        <f>IF(IF(convertString(B52, "prefix")&lt;&gt;"",VLOOKUP(convertString(B52, "prefix"),Items!$A$544:$Z$612,19,FALSE),"")&lt;&gt;"",IF(convertString(B52, "prefix")&lt;&gt;"",VLOOKUP(convertString(B52, "prefix"),Items!$A$544:$Z$612,19,FALSE),""),"")</f>
        <v/>
      </c>
      <c r="P52" s="127" t="str">
        <f>IF(IF(convertString(B52, "prefix")&lt;&gt;"",VLOOKUP(convertString(B52, "prefix"),Items!$A$544:$Z$612,20,FALSE),"")&lt;&gt;"",IF(convertString(B52, "prefix")&lt;&gt;"",VLOOKUP(convertString(B52, "prefix"),Items!$A$544:$Z$612,20,FALSE),""),"")</f>
        <v/>
      </c>
      <c r="Q52" s="1" t="str">
        <f>IF(IF(convertString(B52, "prefix")&lt;&gt;"",VLOOKUP(convertString(B52, "prefix"),Items!$A$544:$Z$612,21,FALSE),"")&lt;&gt;"",IF(convertString(B52, "prefix")&lt;&gt;"",VLOOKUP(convertString(B52, "prefix"),Items!$A$544:$Z$612,21,FALSE),""),"")</f>
        <v/>
      </c>
    </row>
    <row r="53" spans="1:17" hidden="1">
      <c r="A53" s="172" t="s">
        <v>1146</v>
      </c>
      <c r="B53" s="52"/>
      <c r="C53" s="22" t="str">
        <f>IF(B53&lt;&gt;"",VLOOKUP(B53,Items!$A$616:$X$640,15,FALSE),"")</f>
        <v/>
      </c>
      <c r="D53" s="22" t="str">
        <f>IF(B53&lt;&gt;"",VLOOKUP(B53,Items!$A$616:$X$640,16,FALSE),"")</f>
        <v/>
      </c>
      <c r="E53" s="13" t="str">
        <f>IF(B53&lt;&gt;"",VLOOKUP(B53,Items!$A$616:$X$640,17,FALSE),"")</f>
        <v/>
      </c>
      <c r="F53" s="127" t="str">
        <f>IF(B53&lt;&gt;"",IF(VLOOKUP(B53,Items!$A$616:$X$640,19,FALSE)&lt;&gt;0,VLOOKUP(B53,Items!$A$616:$X$640,19,FALSE),""),"")</f>
        <v/>
      </c>
      <c r="G53" s="161" t="str">
        <f>IF(B53&lt;&gt;"",IF(VLOOKUP(B53,Items!$A$616:$X$640,20,FALSE)&lt;&gt;0,VLOOKUP(B53,Items!$A$616:$X$640,20,FALSE),""),"")</f>
        <v/>
      </c>
      <c r="H53" s="9" t="str">
        <f>IF(B53&lt;&gt;"",IF(VLOOKUP(B53,Items!$A$616:$X$640,21,FALSE)&lt;&gt;0,VLOOKUP(B53,Items!$A$616:$X$640,21,FALSE),""),"")</f>
        <v/>
      </c>
      <c r="I53" s="88" t="str">
        <f>IF(B53&lt;&gt;"",IF(VLOOKUP(B53,Items!$A$616:$X$640,22,FALSE)&lt;&gt;0,VLOOKUP(B53,Items!$A$616:$X$640,22,FALSE),""),"")</f>
        <v/>
      </c>
      <c r="J53" s="9" t="str">
        <f>IF(B53&lt;&gt;"",IF(VLOOKUP(B53,Items!$A$616:$X$640,23,FALSE)&lt;&gt;0,VLOOKUP(B53,Items!$A$616:$X$640,23,FALSE),""),"")</f>
        <v/>
      </c>
      <c r="K53" s="1" t="str">
        <f>IF(B53&lt;&gt;"",IF(VLOOKUP(B53,Items!$A$616:$X$640,24,FALSE)&lt;&gt;0,VLOOKUP(B53,Items!$A$616:$X$640,24,FALSE),""),"")</f>
        <v/>
      </c>
      <c r="L53" s="88"/>
      <c r="M53" s="9"/>
      <c r="N53" s="9"/>
      <c r="O53" s="88"/>
      <c r="P53" s="127"/>
      <c r="Q53" s="1"/>
    </row>
    <row r="54" spans="1:17" hidden="1">
      <c r="A54" s="172" t="s">
        <v>1147</v>
      </c>
      <c r="B54" s="52"/>
      <c r="C54" s="22" t="str">
        <f>IF(B54&lt;&gt;"",VLOOKUP(B54,Items!$A$616:$X$640,15,FALSE),"")</f>
        <v/>
      </c>
      <c r="D54" s="22" t="str">
        <f>IF(B54&lt;&gt;"",VLOOKUP(B54,Items!$A$616:$X$640,16,FALSE),"")</f>
        <v/>
      </c>
      <c r="E54" s="13" t="str">
        <f>IF(B54&lt;&gt;"",VLOOKUP(B54,Items!$A$616:$X$640,17,FALSE),"")</f>
        <v/>
      </c>
      <c r="F54" s="127" t="str">
        <f>IF(B54&lt;&gt;"",IF(VLOOKUP(B54,Items!$A$616:$X$640,19,FALSE)&lt;&gt;0,VLOOKUP(B54,Items!$A$616:$X$640,19,FALSE),""),"")</f>
        <v/>
      </c>
      <c r="G54" s="161" t="str">
        <f>IF(B54&lt;&gt;"",IF(VLOOKUP(B54,Items!$A$616:$X$640,20,FALSE)&lt;&gt;0,VLOOKUP(B54,Items!$A$616:$X$640,20,FALSE),""),"")</f>
        <v/>
      </c>
      <c r="H54" s="9" t="str">
        <f>IF(B54&lt;&gt;"",IF(VLOOKUP(B54,Items!$A$616:$X$640,21,FALSE)&lt;&gt;0,VLOOKUP(B54,Items!$A$616:$X$640,21,FALSE),""),"")</f>
        <v/>
      </c>
      <c r="I54" s="88" t="str">
        <f>IF(B54&lt;&gt;"",IF(VLOOKUP(B54,Items!$A$616:$X$640,22,FALSE)&lt;&gt;0,VLOOKUP(B54,Items!$A$616:$X$640,22,FALSE),""),"")</f>
        <v/>
      </c>
      <c r="J54" s="9" t="str">
        <f>IF(B54&lt;&gt;"",IF(VLOOKUP(B54,Items!$A$616:$X$640,23,FALSE)&lt;&gt;0,VLOOKUP(B54,Items!$A$616:$X$640,23,FALSE),""),"")</f>
        <v/>
      </c>
      <c r="K54" s="1" t="str">
        <f>IF(B54&lt;&gt;"",IF(VLOOKUP(B54,Items!$A$616:$X$640,24,FALSE)&lt;&gt;0,VLOOKUP(B54,Items!$A$616:$X$640,24,FALSE),""),"")</f>
        <v/>
      </c>
      <c r="L54" s="88"/>
      <c r="M54" s="9"/>
      <c r="N54" s="9"/>
      <c r="O54" s="88"/>
      <c r="P54" s="127"/>
      <c r="Q54" s="1"/>
    </row>
    <row r="55" spans="1:17" hidden="1">
      <c r="A55" s="172" t="s">
        <v>1148</v>
      </c>
      <c r="B55" s="52"/>
      <c r="C55" s="22" t="str">
        <f>IF(B55&lt;&gt;"",VLOOKUP(B55,Items!$A$616:$X$640,15,FALSE),"")</f>
        <v/>
      </c>
      <c r="D55" s="22" t="str">
        <f>IF(B55&lt;&gt;"",VLOOKUP(B55,Items!$A$616:$X$640,16,FALSE),"")</f>
        <v/>
      </c>
      <c r="E55" s="13" t="str">
        <f>IF(B55&lt;&gt;"",VLOOKUP(B55,Items!$A$616:$X$640,17,FALSE),"")</f>
        <v/>
      </c>
      <c r="F55" s="127" t="str">
        <f>IF(B55&lt;&gt;"",IF(VLOOKUP(B55,Items!$A$616:$X$640,19,FALSE)&lt;&gt;0,VLOOKUP(B55,Items!$A$616:$X$640,19,FALSE),""),"")</f>
        <v/>
      </c>
      <c r="G55" s="161" t="str">
        <f>IF(B55&lt;&gt;"",IF(VLOOKUP(B55,Items!$A$616:$X$640,20,FALSE)&lt;&gt;0,VLOOKUP(B55,Items!$A$616:$X$640,20,FALSE),""),"")</f>
        <v/>
      </c>
      <c r="H55" s="9" t="str">
        <f>IF(B55&lt;&gt;"",IF(VLOOKUP(B55,Items!$A$616:$X$640,21,FALSE)&lt;&gt;0,VLOOKUP(B55,Items!$A$616:$X$640,21,FALSE),""),"")</f>
        <v/>
      </c>
      <c r="I55" s="88" t="str">
        <f>IF(B55&lt;&gt;"",IF(VLOOKUP(B55,Items!$A$616:$X$640,22,FALSE)&lt;&gt;0,VLOOKUP(B55,Items!$A$616:$X$640,22,FALSE),""),"")</f>
        <v/>
      </c>
      <c r="J55" s="9" t="str">
        <f>IF(B55&lt;&gt;"",IF(VLOOKUP(B55,Items!$A$616:$X$640,23,FALSE)&lt;&gt;0,VLOOKUP(B55,Items!$A$616:$X$640,23,FALSE),""),"")</f>
        <v/>
      </c>
      <c r="K55" s="1" t="str">
        <f>IF(B55&lt;&gt;"",IF(VLOOKUP(B55,Items!$A$616:$X$640,24,FALSE)&lt;&gt;0,VLOOKUP(B55,Items!$A$616:$X$640,24,FALSE),""),"")</f>
        <v/>
      </c>
      <c r="L55" s="88"/>
      <c r="M55" s="9"/>
      <c r="N55" s="9"/>
      <c r="O55" s="88"/>
      <c r="P55" s="127"/>
      <c r="Q55" s="1"/>
    </row>
    <row r="56" spans="1:17" hidden="1">
      <c r="A56" s="172" t="s">
        <v>1149</v>
      </c>
      <c r="B56" s="52"/>
      <c r="C56" s="22" t="str">
        <f>IF(B56&lt;&gt;"",VLOOKUP(B56,Items!$A$616:$X$640,15,FALSE),"")</f>
        <v/>
      </c>
      <c r="D56" s="22" t="str">
        <f>IF(B56&lt;&gt;"",VLOOKUP(B56,Items!$A$616:$X$640,16,FALSE),"")</f>
        <v/>
      </c>
      <c r="E56" s="13" t="str">
        <f>IF(B56&lt;&gt;"",VLOOKUP(B56,Items!$A$616:$X$640,17,FALSE),"")</f>
        <v/>
      </c>
      <c r="F56" s="127" t="str">
        <f>IF(B56&lt;&gt;"",IF(VLOOKUP(B56,Items!$A$616:$X$640,19,FALSE)&lt;&gt;0,VLOOKUP(B56,Items!$A$616:$X$640,19,FALSE),""),"")</f>
        <v/>
      </c>
      <c r="G56" s="161" t="str">
        <f>IF(B56&lt;&gt;"",IF(VLOOKUP(B56,Items!$A$616:$X$640,20,FALSE)&lt;&gt;0,VLOOKUP(B56,Items!$A$616:$X$640,20,FALSE),""),"")</f>
        <v/>
      </c>
      <c r="H56" s="9" t="str">
        <f>IF(B56&lt;&gt;"",IF(VLOOKUP(B56,Items!$A$616:$X$640,21,FALSE)&lt;&gt;0,VLOOKUP(B56,Items!$A$616:$X$640,21,FALSE),""),"")</f>
        <v/>
      </c>
      <c r="I56" s="88" t="str">
        <f>IF(B56&lt;&gt;"",IF(VLOOKUP(B56,Items!$A$616:$X$640,22,FALSE)&lt;&gt;0,VLOOKUP(B56,Items!$A$616:$X$640,22,FALSE),""),"")</f>
        <v/>
      </c>
      <c r="J56" s="9" t="str">
        <f>IF(B56&lt;&gt;"",IF(VLOOKUP(B56,Items!$A$616:$X$640,23,FALSE)&lt;&gt;0,VLOOKUP(B56,Items!$A$616:$X$640,23,FALSE),""),"")</f>
        <v/>
      </c>
      <c r="K56" s="1" t="str">
        <f>IF(B56&lt;&gt;"",IF(VLOOKUP(B56,Items!$A$616:$X$640,24,FALSE)&lt;&gt;0,VLOOKUP(B56,Items!$A$616:$X$640,24,FALSE),""),"")</f>
        <v/>
      </c>
      <c r="L56" s="88"/>
      <c r="M56" s="9"/>
      <c r="N56" s="9"/>
      <c r="O56" s="88"/>
      <c r="P56" s="127"/>
      <c r="Q56" s="1"/>
    </row>
    <row r="57" spans="1:17" hidden="1">
      <c r="A57" s="172" t="s">
        <v>1150</v>
      </c>
      <c r="B57" s="52"/>
      <c r="C57" s="22" t="str">
        <f>IF(B57&lt;&gt;"",VLOOKUP(B57,Items!$A$616:$X$640,15,FALSE),"")</f>
        <v/>
      </c>
      <c r="D57" s="22" t="str">
        <f>IF(B57&lt;&gt;"",VLOOKUP(B57,Items!$A$616:$X$640,16,FALSE),"")</f>
        <v/>
      </c>
      <c r="E57" s="13" t="str">
        <f>IF(B57&lt;&gt;"",VLOOKUP(B57,Items!$A$616:$X$640,17,FALSE),"")</f>
        <v/>
      </c>
      <c r="F57" s="127" t="str">
        <f>IF(B57&lt;&gt;"",IF(VLOOKUP(B57,Items!$A$616:$X$640,19,FALSE)&lt;&gt;0,VLOOKUP(B57,Items!$A$616:$X$640,19,FALSE),""),"")</f>
        <v/>
      </c>
      <c r="G57" s="161" t="str">
        <f>IF(B57&lt;&gt;"",IF(VLOOKUP(B57,Items!$A$616:$X$640,20,FALSE)&lt;&gt;0,VLOOKUP(B57,Items!$A$616:$X$640,20,FALSE),""),"")</f>
        <v/>
      </c>
      <c r="H57" s="9" t="str">
        <f>IF(B57&lt;&gt;"",IF(VLOOKUP(B57,Items!$A$616:$X$640,21,FALSE)&lt;&gt;0,VLOOKUP(B57,Items!$A$616:$X$640,21,FALSE),""),"")</f>
        <v/>
      </c>
      <c r="I57" s="88" t="str">
        <f>IF(B57&lt;&gt;"",IF(VLOOKUP(B57,Items!$A$616:$X$640,22,FALSE)&lt;&gt;0,VLOOKUP(B57,Items!$A$616:$X$640,22,FALSE),""),"")</f>
        <v/>
      </c>
      <c r="J57" s="9" t="str">
        <f>IF(B57&lt;&gt;"",IF(VLOOKUP(B57,Items!$A$616:$X$640,23,FALSE)&lt;&gt;0,VLOOKUP(B57,Items!$A$616:$X$640,23,FALSE),""),"")</f>
        <v/>
      </c>
      <c r="K57" s="1" t="str">
        <f>IF(B57&lt;&gt;"",IF(VLOOKUP(B57,Items!$A$616:$X$640,24,FALSE)&lt;&gt;0,VLOOKUP(B57,Items!$A$616:$X$640,24,FALSE),""),"")</f>
        <v/>
      </c>
      <c r="L57" s="88"/>
      <c r="M57" s="9"/>
      <c r="N57" s="9"/>
      <c r="O57" s="88"/>
      <c r="P57" s="127"/>
      <c r="Q57" s="1"/>
    </row>
    <row r="58" spans="1:17" hidden="1">
      <c r="A58" s="172" t="s">
        <v>1151</v>
      </c>
      <c r="B58" s="52"/>
      <c r="C58" s="22" t="str">
        <f>IF(B58&lt;&gt;"",VLOOKUP(B58,Items!$A$616:$X$640,15,FALSE),"")</f>
        <v/>
      </c>
      <c r="D58" s="22" t="str">
        <f>IF(B58&lt;&gt;"",VLOOKUP(B58,Items!$A$616:$X$640,16,FALSE),"")</f>
        <v/>
      </c>
      <c r="E58" s="13" t="str">
        <f>IF(B58&lt;&gt;"",VLOOKUP(B58,Items!$A$616:$X$640,17,FALSE),"")</f>
        <v/>
      </c>
      <c r="F58" s="127" t="str">
        <f>IF(B58&lt;&gt;"",IF(VLOOKUP(B58,Items!$A$616:$X$640,19,FALSE)&lt;&gt;0,VLOOKUP(B58,Items!$A$616:$X$640,19,FALSE),""),"")</f>
        <v/>
      </c>
      <c r="G58" s="161" t="str">
        <f>IF(B58&lt;&gt;"",IF(VLOOKUP(B58,Items!$A$616:$X$640,20,FALSE)&lt;&gt;0,VLOOKUP(B58,Items!$A$616:$X$640,20,FALSE),""),"")</f>
        <v/>
      </c>
      <c r="H58" s="9" t="str">
        <f>IF(B58&lt;&gt;"",IF(VLOOKUP(B58,Items!$A$616:$X$640,21,FALSE)&lt;&gt;0,VLOOKUP(B58,Items!$A$616:$X$640,21,FALSE),""),"")</f>
        <v/>
      </c>
      <c r="I58" s="88" t="str">
        <f>IF(B58&lt;&gt;"",IF(VLOOKUP(B58,Items!$A$616:$X$640,22,FALSE)&lt;&gt;0,VLOOKUP(B58,Items!$A$616:$X$640,22,FALSE),""),"")</f>
        <v/>
      </c>
      <c r="J58" s="9" t="str">
        <f>IF(B58&lt;&gt;"",IF(VLOOKUP(B58,Items!$A$616:$X$640,23,FALSE)&lt;&gt;0,VLOOKUP(B58,Items!$A$616:$X$640,23,FALSE),""),"")</f>
        <v/>
      </c>
      <c r="K58" s="1" t="str">
        <f>IF(B58&lt;&gt;"",IF(VLOOKUP(B58,Items!$A$616:$X$640,24,FALSE)&lt;&gt;0,VLOOKUP(B58,Items!$A$616:$X$640,24,FALSE),""),"")</f>
        <v/>
      </c>
      <c r="L58" s="88"/>
      <c r="M58" s="9"/>
      <c r="N58" s="9"/>
      <c r="O58" s="88"/>
      <c r="P58" s="127"/>
      <c r="Q58" s="1"/>
    </row>
    <row r="59" spans="1:17">
      <c r="A59" s="47" t="s">
        <v>567</v>
      </c>
      <c r="B59" s="52" t="s">
        <v>1145</v>
      </c>
      <c r="C59" s="22">
        <f>IF(convertString(B59, "prefix")&lt;&gt;"",VLOOKUP(convertString(B59, "prefix"),Items!$A$544:$Z$612,15,FALSE),0) + IF(convertString(B59, "item")&lt;&gt;"",VLOOKUP(convertString(B59, "item"),Items!$A$14:$X$432,15,FALSE),0) + IF(convertString(B59, "suffix")&lt;&gt;"",VLOOKUP(convertString(B59, "suffix"),Items!$A$544:$Z$612,15,FALSE),0) + SUM(C60:C65)</f>
        <v>0</v>
      </c>
      <c r="D59" s="22">
        <f>IF(convertString(B59, "prefix")&lt;&gt;"",VLOOKUP(convertString(B59, "prefix"),Items!$A$544:$Z$612,16,FALSE),0) + IF(convertString(B59, "item")&lt;&gt;"",VLOOKUP(convertString(B59, "item"),Items!$A$14:$X$432,16,FALSE),0) + IF(convertString(B59, "suffix")&lt;&gt;"",VLOOKUP(convertString(B59, "suffix"),Items!$A$544:$Z$612,16,FALSE),0)+SUM(D60:D65)</f>
        <v>0</v>
      </c>
      <c r="E59" s="22">
        <f>IF(convertString(B59, "prefix")&lt;&gt;"",VLOOKUP(convertString(B59, "prefix"),Items!$A$544:$Z$612,17,FALSE),0) + IF(convertString(B59, "item")&lt;&gt;"",VLOOKUP(convertString(B59, "item"),Items!$A$14:$X$432,17,FALSE),0) + IF(convertString(B59, "suffix")&lt;&gt;"",VLOOKUP(convertString(B59, "suffix"),Items!$A$544:$Z$612,17,FALSE),0)+SUM(E60:E65)</f>
        <v>0</v>
      </c>
      <c r="F59" s="88" t="str">
        <f>IF(VLOOKUP(convertString(B59, "item"),Items!$A$14:$X$432,19,FALSE)&lt;&gt;"",VLOOKUP(convertString(B59, "item"),Items!$A$14:$X$432,19,FALSE),"")</f>
        <v/>
      </c>
      <c r="G59" s="118" t="str">
        <f>IF(VLOOKUP(convertString(B59, "item"),Items!$A$14:$X$432,20,FALSE)&lt;&gt;0,VLOOKUP(convertString(B59, "item"),Items!$A$14:$X$432,20,FALSE),"")</f>
        <v/>
      </c>
      <c r="H59" s="9" t="str">
        <f>IF(VLOOKUP(convertString(B59, "item"),Items!$A$14:$X$432,21,FALSE)&lt;&gt;"",VLOOKUP(convertString(B59, "item"),Items!$A$14:$X$432,21,FALSE),"")</f>
        <v/>
      </c>
      <c r="I59" s="88" t="str">
        <f>IF(VLOOKUP(convertString(B59, "item"),Items!$A$14:$X$432,22,FALSE)&lt;&gt;"",VLOOKUP(convertString(B59, "item"),Items!$A$14:$X$432,22,FALSE),"")</f>
        <v/>
      </c>
      <c r="J59" s="161" t="str">
        <f>IF(VLOOKUP(convertString(B59, "item"),Items!$A$14:$X$432,23,FALSE)&lt;&gt;"",VLOOKUP(convertString(B59, "item"),Items!$A$14:$X$432,23,FALSE),"")</f>
        <v/>
      </c>
      <c r="K59" s="9" t="str">
        <f>IF(VLOOKUP(convertString(B59, "item"),Items!$A$14:$X$432,24,FALSE)&lt;&gt;"",VLOOKUP(convertString(B59, "item"),Items!$A$14:$X$432,24,FALSE),"")</f>
        <v/>
      </c>
      <c r="L59" s="88" t="str">
        <f>IF(IF(convertString(B59, "suffix")&lt;&gt;"",VLOOKUP(convertString(B59, "suffix"),Items!$A$544:$Z$612,19,FALSE),"")&lt;&gt;"",IF(convertString(B59, "suffix")&lt;&gt;"",VLOOKUP(convertString(B59, "suffix"),Items!$A$544:$Z$612,19,FALSE),""),"")</f>
        <v/>
      </c>
      <c r="M59" s="9" t="str">
        <f>IF(IF(convertString(B59, "suffix")&lt;&gt;"",VLOOKUP(convertString(B59, "suffix"),Items!$A$544:$Z$612,20,FALSE),"")&lt;&gt;"",IF(convertString(B59, "suffix")&lt;&gt;"",VLOOKUP(convertString(B59, "suffix"),Items!$A$544:$Z$612,20,FALSE),""),"")</f>
        <v/>
      </c>
      <c r="N59" s="9" t="str">
        <f>IF(IF(convertString(B59, "suffix")&lt;&gt;"",VLOOKUP(convertString(B59, "suffix"),Items!$A$544:$Z$612,21,FALSE),"")&lt;&gt;"",IF(convertString(B59, "suffix")&lt;&gt;"",VLOOKUP(convertString(B59, "suffix"),Items!$A$544:$Z$612,21,FALSE),""),"")</f>
        <v/>
      </c>
      <c r="O59" s="88" t="str">
        <f>IF(IF(convertString(B59, "prefix")&lt;&gt;"",VLOOKUP(convertString(B59, "prefix"),Items!$A$544:$Z$612,19,FALSE),"")&lt;&gt;"",IF(convertString(B59, "prefix")&lt;&gt;"",VLOOKUP(convertString(B59, "prefix"),Items!$A$544:$Z$612,19,FALSE),""),"")</f>
        <v/>
      </c>
      <c r="P59" s="127" t="str">
        <f>IF(IF(convertString(B59, "prefix")&lt;&gt;"",VLOOKUP(convertString(B59, "prefix"),Items!$A$544:$Z$612,20,FALSE),"")&lt;&gt;"",IF(convertString(B59, "prefix")&lt;&gt;"",VLOOKUP(convertString(B59, "prefix"),Items!$A$544:$Z$612,20,FALSE),""),"")</f>
        <v/>
      </c>
      <c r="Q59" s="1" t="str">
        <f>IF(IF(convertString(B59, "prefix")&lt;&gt;"",VLOOKUP(convertString(B59, "prefix"),Items!$A$544:$Z$612,21,FALSE),"")&lt;&gt;"",IF(convertString(B59, "prefix")&lt;&gt;"",VLOOKUP(convertString(B59, "prefix"),Items!$A$544:$Z$612,21,FALSE),""),"")</f>
        <v/>
      </c>
    </row>
    <row r="60" spans="1:17" hidden="1">
      <c r="A60" s="172" t="s">
        <v>1146</v>
      </c>
      <c r="B60" s="52"/>
      <c r="C60" s="22" t="str">
        <f>IF(B60&lt;&gt;"",VLOOKUP(B60,Items!$A$616:$X$640,15,FALSE),"")</f>
        <v/>
      </c>
      <c r="D60" s="22" t="str">
        <f>IF(B60&lt;&gt;"",VLOOKUP(B60,Items!$A$616:$X$640,16,FALSE),"")</f>
        <v/>
      </c>
      <c r="E60" s="13" t="str">
        <f>IF(B60&lt;&gt;"",VLOOKUP(B60,Items!$A$616:$X$640,17,FALSE),"")</f>
        <v/>
      </c>
      <c r="F60" s="127" t="str">
        <f>IF(B60&lt;&gt;"",IF(VLOOKUP(B60,Items!$A$616:$X$640,19,FALSE)&lt;&gt;0,VLOOKUP(B60,Items!$A$616:$X$640,19,FALSE),""),"")</f>
        <v/>
      </c>
      <c r="G60" s="161" t="str">
        <f>IF(B60&lt;&gt;"",IF(VLOOKUP(B60,Items!$A$616:$X$640,20,FALSE)&lt;&gt;0,VLOOKUP(B60,Items!$A$616:$X$640,20,FALSE),""),"")</f>
        <v/>
      </c>
      <c r="H60" s="9" t="str">
        <f>IF(B60&lt;&gt;"",IF(VLOOKUP(B60,Items!$A$616:$X$640,21,FALSE)&lt;&gt;0,VLOOKUP(B60,Items!$A$616:$X$640,21,FALSE),""),"")</f>
        <v/>
      </c>
      <c r="I60" s="88" t="str">
        <f>IF(B60&lt;&gt;"",IF(VLOOKUP(B60,Items!$A$616:$X$640,22,FALSE)&lt;&gt;0,VLOOKUP(B60,Items!$A$616:$X$640,22,FALSE),""),"")</f>
        <v/>
      </c>
      <c r="J60" s="9" t="str">
        <f>IF(B60&lt;&gt;"",IF(VLOOKUP(B60,Items!$A$616:$X$640,23,FALSE)&lt;&gt;0,VLOOKUP(B60,Items!$A$616:$X$640,23,FALSE),""),"")</f>
        <v/>
      </c>
      <c r="K60" s="1" t="str">
        <f>IF(B60&lt;&gt;"",IF(VLOOKUP(B60,Items!$A$616:$X$640,24,FALSE)&lt;&gt;0,VLOOKUP(B60,Items!$A$616:$X$640,24,FALSE),""),"")</f>
        <v/>
      </c>
      <c r="L60" s="88"/>
      <c r="M60" s="9"/>
      <c r="N60" s="9"/>
      <c r="O60" s="88"/>
      <c r="P60" s="127"/>
      <c r="Q60" s="1"/>
    </row>
    <row r="61" spans="1:17" hidden="1">
      <c r="A61" s="172" t="s">
        <v>1147</v>
      </c>
      <c r="B61" s="52"/>
      <c r="C61" s="22" t="str">
        <f>IF(B61&lt;&gt;"",VLOOKUP(B61,Items!$A$616:$X$640,15,FALSE),"")</f>
        <v/>
      </c>
      <c r="D61" s="22" t="str">
        <f>IF(B61&lt;&gt;"",VLOOKUP(B61,Items!$A$616:$X$640,16,FALSE),"")</f>
        <v/>
      </c>
      <c r="E61" s="13" t="str">
        <f>IF(B61&lt;&gt;"",VLOOKUP(B61,Items!$A$616:$X$640,17,FALSE),"")</f>
        <v/>
      </c>
      <c r="F61" s="127" t="str">
        <f>IF(B61&lt;&gt;"",IF(VLOOKUP(B61,Items!$A$616:$X$640,19,FALSE)&lt;&gt;0,VLOOKUP(B61,Items!$A$616:$X$640,19,FALSE),""),"")</f>
        <v/>
      </c>
      <c r="G61" s="161" t="str">
        <f>IF(B61&lt;&gt;"",IF(VLOOKUP(B61,Items!$A$616:$X$640,20,FALSE)&lt;&gt;0,VLOOKUP(B61,Items!$A$616:$X$640,20,FALSE),""),"")</f>
        <v/>
      </c>
      <c r="H61" s="9" t="str">
        <f>IF(B61&lt;&gt;"",IF(VLOOKUP(B61,Items!$A$616:$X$640,21,FALSE)&lt;&gt;0,VLOOKUP(B61,Items!$A$616:$X$640,21,FALSE),""),"")</f>
        <v/>
      </c>
      <c r="I61" s="88" t="str">
        <f>IF(B61&lt;&gt;"",IF(VLOOKUP(B61,Items!$A$616:$X$640,22,FALSE)&lt;&gt;0,VLOOKUP(B61,Items!$A$616:$X$640,22,FALSE),""),"")</f>
        <v/>
      </c>
      <c r="J61" s="9" t="str">
        <f>IF(B61&lt;&gt;"",IF(VLOOKUP(B61,Items!$A$616:$X$640,23,FALSE)&lt;&gt;0,VLOOKUP(B61,Items!$A$616:$X$640,23,FALSE),""),"")</f>
        <v/>
      </c>
      <c r="K61" s="1" t="str">
        <f>IF(B61&lt;&gt;"",IF(VLOOKUP(B61,Items!$A$616:$X$640,24,FALSE)&lt;&gt;0,VLOOKUP(B61,Items!$A$616:$X$640,24,FALSE),""),"")</f>
        <v/>
      </c>
      <c r="L61" s="88"/>
      <c r="M61" s="9"/>
      <c r="N61" s="9"/>
      <c r="O61" s="88"/>
      <c r="P61" s="127"/>
      <c r="Q61" s="1"/>
    </row>
    <row r="62" spans="1:17" hidden="1">
      <c r="A62" s="172" t="s">
        <v>1148</v>
      </c>
      <c r="B62" s="52"/>
      <c r="C62" s="22" t="str">
        <f>IF(B62&lt;&gt;"",VLOOKUP(B62,Items!$A$616:$X$640,15,FALSE),"")</f>
        <v/>
      </c>
      <c r="D62" s="22" t="str">
        <f>IF(B62&lt;&gt;"",VLOOKUP(B62,Items!$A$616:$X$640,16,FALSE),"")</f>
        <v/>
      </c>
      <c r="E62" s="13" t="str">
        <f>IF(B62&lt;&gt;"",VLOOKUP(B62,Items!$A$616:$X$640,17,FALSE),"")</f>
        <v/>
      </c>
      <c r="F62" s="127" t="str">
        <f>IF(B62&lt;&gt;"",IF(VLOOKUP(B62,Items!$A$616:$X$640,19,FALSE)&lt;&gt;0,VLOOKUP(B62,Items!$A$616:$X$640,19,FALSE),""),"")</f>
        <v/>
      </c>
      <c r="G62" s="161" t="str">
        <f>IF(B62&lt;&gt;"",IF(VLOOKUP(B62,Items!$A$616:$X$640,20,FALSE)&lt;&gt;0,VLOOKUP(B62,Items!$A$616:$X$640,20,FALSE),""),"")</f>
        <v/>
      </c>
      <c r="H62" s="9" t="str">
        <f>IF(B62&lt;&gt;"",IF(VLOOKUP(B62,Items!$A$616:$X$640,21,FALSE)&lt;&gt;0,VLOOKUP(B62,Items!$A$616:$X$640,21,FALSE),""),"")</f>
        <v/>
      </c>
      <c r="I62" s="88" t="str">
        <f>IF(B62&lt;&gt;"",IF(VLOOKUP(B62,Items!$A$616:$X$640,22,FALSE)&lt;&gt;0,VLOOKUP(B62,Items!$A$616:$X$640,22,FALSE),""),"")</f>
        <v/>
      </c>
      <c r="J62" s="9" t="str">
        <f>IF(B62&lt;&gt;"",IF(VLOOKUP(B62,Items!$A$616:$X$640,23,FALSE)&lt;&gt;0,VLOOKUP(B62,Items!$A$616:$X$640,23,FALSE),""),"")</f>
        <v/>
      </c>
      <c r="K62" s="1" t="str">
        <f>IF(B62&lt;&gt;"",IF(VLOOKUP(B62,Items!$A$616:$X$640,24,FALSE)&lt;&gt;0,VLOOKUP(B62,Items!$A$616:$X$640,24,FALSE),""),"")</f>
        <v/>
      </c>
      <c r="L62" s="88"/>
      <c r="M62" s="9"/>
      <c r="N62" s="9"/>
      <c r="O62" s="88"/>
      <c r="P62" s="127"/>
      <c r="Q62" s="1"/>
    </row>
    <row r="63" spans="1:17" hidden="1">
      <c r="A63" s="172" t="s">
        <v>1149</v>
      </c>
      <c r="B63" s="52"/>
      <c r="C63" s="22" t="str">
        <f>IF(B63&lt;&gt;"",VLOOKUP(B63,Items!$A$616:$X$640,15,FALSE),"")</f>
        <v/>
      </c>
      <c r="D63" s="22" t="str">
        <f>IF(B63&lt;&gt;"",VLOOKUP(B63,Items!$A$616:$X$640,16,FALSE),"")</f>
        <v/>
      </c>
      <c r="E63" s="13" t="str">
        <f>IF(B63&lt;&gt;"",VLOOKUP(B63,Items!$A$616:$X$640,17,FALSE),"")</f>
        <v/>
      </c>
      <c r="F63" s="127" t="str">
        <f>IF(B63&lt;&gt;"",IF(VLOOKUP(B63,Items!$A$616:$X$640,19,FALSE)&lt;&gt;0,VLOOKUP(B63,Items!$A$616:$X$640,19,FALSE),""),"")</f>
        <v/>
      </c>
      <c r="G63" s="161" t="str">
        <f>IF(B63&lt;&gt;"",IF(VLOOKUP(B63,Items!$A$616:$X$640,20,FALSE)&lt;&gt;0,VLOOKUP(B63,Items!$A$616:$X$640,20,FALSE),""),"")</f>
        <v/>
      </c>
      <c r="H63" s="9" t="str">
        <f>IF(B63&lt;&gt;"",IF(VLOOKUP(B63,Items!$A$616:$X$640,21,FALSE)&lt;&gt;0,VLOOKUP(B63,Items!$A$616:$X$640,21,FALSE),""),"")</f>
        <v/>
      </c>
      <c r="I63" s="88" t="str">
        <f>IF(B63&lt;&gt;"",IF(VLOOKUP(B63,Items!$A$616:$X$640,22,FALSE)&lt;&gt;0,VLOOKUP(B63,Items!$A$616:$X$640,22,FALSE),""),"")</f>
        <v/>
      </c>
      <c r="J63" s="9" t="str">
        <f>IF(B63&lt;&gt;"",IF(VLOOKUP(B63,Items!$A$616:$X$640,23,FALSE)&lt;&gt;0,VLOOKUP(B63,Items!$A$616:$X$640,23,FALSE),""),"")</f>
        <v/>
      </c>
      <c r="K63" s="1" t="str">
        <f>IF(B63&lt;&gt;"",IF(VLOOKUP(B63,Items!$A$616:$X$640,24,FALSE)&lt;&gt;0,VLOOKUP(B63,Items!$A$616:$X$640,24,FALSE),""),"")</f>
        <v/>
      </c>
      <c r="L63" s="88"/>
      <c r="M63" s="9"/>
      <c r="N63" s="9"/>
      <c r="O63" s="88"/>
      <c r="P63" s="127"/>
      <c r="Q63" s="1"/>
    </row>
    <row r="64" spans="1:17" hidden="1">
      <c r="A64" s="172" t="s">
        <v>1150</v>
      </c>
      <c r="B64" s="52"/>
      <c r="C64" s="22" t="str">
        <f>IF(B64&lt;&gt;"",VLOOKUP(B64,Items!$A$616:$X$640,15,FALSE),"")</f>
        <v/>
      </c>
      <c r="D64" s="22" t="str">
        <f>IF(B64&lt;&gt;"",VLOOKUP(B64,Items!$A$616:$X$640,16,FALSE),"")</f>
        <v/>
      </c>
      <c r="E64" s="13" t="str">
        <f>IF(B64&lt;&gt;"",VLOOKUP(B64,Items!$A$616:$X$640,17,FALSE),"")</f>
        <v/>
      </c>
      <c r="F64" s="127" t="str">
        <f>IF(B64&lt;&gt;"",IF(VLOOKUP(B64,Items!$A$616:$X$640,19,FALSE)&lt;&gt;0,VLOOKUP(B64,Items!$A$616:$X$640,19,FALSE),""),"")</f>
        <v/>
      </c>
      <c r="G64" s="161" t="str">
        <f>IF(B64&lt;&gt;"",IF(VLOOKUP(B64,Items!$A$616:$X$640,20,FALSE)&lt;&gt;0,VLOOKUP(B64,Items!$A$616:$X$640,20,FALSE),""),"")</f>
        <v/>
      </c>
      <c r="H64" s="9" t="str">
        <f>IF(B64&lt;&gt;"",IF(VLOOKUP(B64,Items!$A$616:$X$640,21,FALSE)&lt;&gt;0,VLOOKUP(B64,Items!$A$616:$X$640,21,FALSE),""),"")</f>
        <v/>
      </c>
      <c r="I64" s="88" t="str">
        <f>IF(B64&lt;&gt;"",IF(VLOOKUP(B64,Items!$A$616:$X$640,22,FALSE)&lt;&gt;0,VLOOKUP(B64,Items!$A$616:$X$640,22,FALSE),""),"")</f>
        <v/>
      </c>
      <c r="J64" s="9" t="str">
        <f>IF(B64&lt;&gt;"",IF(VLOOKUP(B64,Items!$A$616:$X$640,23,FALSE)&lt;&gt;0,VLOOKUP(B64,Items!$A$616:$X$640,23,FALSE),""),"")</f>
        <v/>
      </c>
      <c r="K64" s="1" t="str">
        <f>IF(B64&lt;&gt;"",IF(VLOOKUP(B64,Items!$A$616:$X$640,24,FALSE)&lt;&gt;0,VLOOKUP(B64,Items!$A$616:$X$640,24,FALSE),""),"")</f>
        <v/>
      </c>
      <c r="L64" s="88"/>
      <c r="M64" s="9"/>
      <c r="N64" s="9"/>
      <c r="O64" s="88"/>
      <c r="P64" s="127"/>
      <c r="Q64" s="1"/>
    </row>
    <row r="65" spans="1:17" hidden="1">
      <c r="A65" s="172" t="s">
        <v>1151</v>
      </c>
      <c r="B65" s="52"/>
      <c r="C65" s="22" t="str">
        <f>IF(B65&lt;&gt;"",VLOOKUP(B65,Items!$A$616:$X$640,15,FALSE),"")</f>
        <v/>
      </c>
      <c r="D65" s="22" t="str">
        <f>IF(B65&lt;&gt;"",VLOOKUP(B65,Items!$A$616:$X$640,16,FALSE),"")</f>
        <v/>
      </c>
      <c r="E65" s="13" t="str">
        <f>IF(B65&lt;&gt;"",VLOOKUP(B65,Items!$A$616:$X$640,17,FALSE),"")</f>
        <v/>
      </c>
      <c r="F65" s="127" t="str">
        <f>IF(B65&lt;&gt;"",IF(VLOOKUP(B65,Items!$A$616:$X$640,19,FALSE)&lt;&gt;0,VLOOKUP(B65,Items!$A$616:$X$640,19,FALSE),""),"")</f>
        <v/>
      </c>
      <c r="G65" s="161" t="str">
        <f>IF(B65&lt;&gt;"",IF(VLOOKUP(B65,Items!$A$616:$X$640,20,FALSE)&lt;&gt;0,VLOOKUP(B65,Items!$A$616:$X$640,20,FALSE),""),"")</f>
        <v/>
      </c>
      <c r="H65" s="9" t="str">
        <f>IF(B65&lt;&gt;"",IF(VLOOKUP(B65,Items!$A$616:$X$640,21,FALSE)&lt;&gt;0,VLOOKUP(B65,Items!$A$616:$X$640,21,FALSE),""),"")</f>
        <v/>
      </c>
      <c r="I65" s="88" t="str">
        <f>IF(B65&lt;&gt;"",IF(VLOOKUP(B65,Items!$A$616:$X$640,22,FALSE)&lt;&gt;0,VLOOKUP(B65,Items!$A$616:$X$640,22,FALSE),""),"")</f>
        <v/>
      </c>
      <c r="J65" s="9" t="str">
        <f>IF(B65&lt;&gt;"",IF(VLOOKUP(B65,Items!$A$616:$X$640,23,FALSE)&lt;&gt;0,VLOOKUP(B65,Items!$A$616:$X$640,23,FALSE),""),"")</f>
        <v/>
      </c>
      <c r="K65" s="1" t="str">
        <f>IF(B65&lt;&gt;"",IF(VLOOKUP(B65,Items!$A$616:$X$640,24,FALSE)&lt;&gt;0,VLOOKUP(B65,Items!$A$616:$X$640,24,FALSE),""),"")</f>
        <v/>
      </c>
      <c r="L65" s="88"/>
      <c r="M65" s="9"/>
      <c r="N65" s="9"/>
      <c r="O65" s="88"/>
      <c r="P65" s="127"/>
      <c r="Q65" s="1"/>
    </row>
    <row r="66" spans="1:17">
      <c r="A66" s="46" t="s">
        <v>633</v>
      </c>
      <c r="B66" s="100">
        <f>F66*100+C67+D67+E67+1</f>
        <v>1</v>
      </c>
      <c r="C66" s="22"/>
      <c r="D66" s="22"/>
      <c r="E66" s="41"/>
      <c r="F66" s="88">
        <v>0</v>
      </c>
      <c r="G66" s="9" t="str">
        <f>VLOOKUP(B37,Misc!$AA$38:$AE$46,2,FALSE)</f>
        <v>Steal</v>
      </c>
      <c r="H66" s="2" t="s">
        <v>572</v>
      </c>
      <c r="I66" s="88"/>
      <c r="J66" s="9"/>
      <c r="K66" s="1"/>
      <c r="L66" s="46"/>
      <c r="M66" s="22"/>
      <c r="N66" s="9"/>
      <c r="O66" s="145"/>
      <c r="P66" s="9"/>
      <c r="Q66" s="1"/>
    </row>
    <row r="67" spans="1:17">
      <c r="A67" s="46" t="s">
        <v>632</v>
      </c>
      <c r="C67" s="23">
        <v>0</v>
      </c>
      <c r="D67" s="23">
        <v>0</v>
      </c>
      <c r="E67" s="23">
        <v>0</v>
      </c>
      <c r="F67" s="86"/>
      <c r="G67" s="9"/>
      <c r="H67" s="9"/>
      <c r="I67" s="89"/>
      <c r="J67" s="9"/>
      <c r="K67" s="1"/>
      <c r="L67" s="319"/>
      <c r="M67" s="320"/>
      <c r="N67" s="142" t="s">
        <v>561</v>
      </c>
      <c r="O67" s="90" t="s">
        <v>562</v>
      </c>
      <c r="P67" s="91" t="s">
        <v>563</v>
      </c>
      <c r="Q67" s="144"/>
    </row>
    <row r="68" spans="1:17">
      <c r="A68" s="47" t="s">
        <v>634</v>
      </c>
      <c r="B68" s="9"/>
      <c r="C68" s="22">
        <f>C67*2+SUM(C38:C43)</f>
        <v>0</v>
      </c>
      <c r="D68" s="22">
        <f>D67*2+SUM(D38:D43)</f>
        <v>0</v>
      </c>
      <c r="E68" s="22">
        <f>E67*2+SUM(E38:E43)</f>
        <v>0</v>
      </c>
      <c r="F68" s="83" t="s">
        <v>818</v>
      </c>
      <c r="G68" s="120" t="str">
        <f>convertPercentage(F38:Q66,"Fight",IF(L67="",'Stats Scores'!$AP$2,L67))</f>
        <v>0%</v>
      </c>
      <c r="H68" s="53" t="s">
        <v>825</v>
      </c>
      <c r="I68" s="120" t="str">
        <f>convertPercentage(F38:Q66,"Barter",IF(L67="",'Stats Scores'!$AP$2,L67))</f>
        <v>0%</v>
      </c>
      <c r="J68" s="44" t="s">
        <v>827</v>
      </c>
      <c r="K68" s="123" t="str">
        <f>convertPercentage(F38:Q66,"Spy",IF(L67="",'Stats Scores'!$AP$2,L67))</f>
        <v>0%</v>
      </c>
      <c r="L68" s="321" t="s">
        <v>819</v>
      </c>
      <c r="M68" s="322"/>
      <c r="N68" s="95">
        <f>ROUNDUP(getscore(C70,G68,"Fight",L67),0)</f>
        <v>4</v>
      </c>
      <c r="O68" s="95">
        <f>ROUNDUP(getscore(D70,I68,"Barter",L67),0)</f>
        <v>13</v>
      </c>
      <c r="P68" s="82">
        <f>ROUNDUP(getscore(E70,K68,"Spy",L67),0)</f>
        <v>11</v>
      </c>
      <c r="Q68" s="143"/>
    </row>
    <row r="69" spans="1:17">
      <c r="B69" s="2"/>
      <c r="C69" s="22"/>
      <c r="D69" s="22"/>
      <c r="E69" s="22"/>
      <c r="F69" s="83" t="s">
        <v>753</v>
      </c>
      <c r="G69" s="121" t="str">
        <f>convertPercentage(F38:Q66,"Harass",IF(L67="",'Stats Scores'!$AP$2,L67))</f>
        <v>0%</v>
      </c>
      <c r="H69" s="2" t="s">
        <v>829</v>
      </c>
      <c r="I69" s="121" t="str">
        <f>convertPercentage(F38:Q66,"Swindle",IF(L67="",'Stats Scores'!$AP$2,L67))</f>
        <v>0%</v>
      </c>
      <c r="J69" s="9" t="s">
        <v>828</v>
      </c>
      <c r="K69" s="124" t="str">
        <f>convertPercentage(F38:Q66,"Sabotage",IF(L67="",'Stats Scores'!$AP$2,L67))</f>
        <v>0%</v>
      </c>
      <c r="L69" s="321" t="s">
        <v>820</v>
      </c>
      <c r="M69" s="322"/>
      <c r="N69" s="95">
        <f>ROUNDUP(getscore(C70,G69,"Harass",L67),0)</f>
        <v>4</v>
      </c>
      <c r="O69" s="95">
        <f>ROUNDUP(getscore(D70,I69,"Swindle",L67),0)</f>
        <v>13</v>
      </c>
      <c r="P69" s="82">
        <f>ROUNDUP(getscore(E70,K69,"Sabotage",L67),0)</f>
        <v>11</v>
      </c>
      <c r="Q69" s="143"/>
    </row>
    <row r="70" spans="1:17">
      <c r="A70" s="56" t="s">
        <v>635</v>
      </c>
      <c r="B70" s="20"/>
      <c r="C70" s="33">
        <f>C44+C45+C52+C59+C68</f>
        <v>0</v>
      </c>
      <c r="D70" s="33">
        <f t="shared" ref="D70:E70" si="1">D44+D45+D52+D59+D68</f>
        <v>0</v>
      </c>
      <c r="E70" s="33">
        <f t="shared" si="1"/>
        <v>1</v>
      </c>
      <c r="F70" s="84" t="s">
        <v>824</v>
      </c>
      <c r="G70" s="122" t="str">
        <f>convertPercentage(F38:Q66,"Aid",IF(L67="",'Stats Scores'!$AP$2,L67))</f>
        <v>0%</v>
      </c>
      <c r="H70" s="20" t="s">
        <v>826</v>
      </c>
      <c r="I70" s="122" t="str">
        <f>convertPercentage(F38:Q66,"Bribe",IF(L67="",'Stats Scores'!$AP$2,L67))</f>
        <v>0%</v>
      </c>
      <c r="J70" s="20" t="s">
        <v>830</v>
      </c>
      <c r="K70" s="125" t="str">
        <f>convertPercentage(F38:Q66,"Steal",IF(L67="",'Stats Scores'!$AP$2,L67))</f>
        <v>0%</v>
      </c>
      <c r="L70" s="317" t="s">
        <v>821</v>
      </c>
      <c r="M70" s="318"/>
      <c r="N70" s="131">
        <f>ROUNDUP(getscore(C70,G70,"Aid",L67),0)</f>
        <v>4</v>
      </c>
      <c r="O70" s="131">
        <f>ROUNDUP(getscore(D70,I70,"Bribe",L67),0)</f>
        <v>18</v>
      </c>
      <c r="P70" s="132">
        <f>ROUNDUP(getscore(E70,K70,"Steal",L67),0)</f>
        <v>11</v>
      </c>
      <c r="Q70" s="111"/>
    </row>
    <row r="72" spans="1:17" ht="18" customHeight="1">
      <c r="A72" s="159"/>
      <c r="B72" s="52"/>
      <c r="C72" s="308"/>
      <c r="D72" s="308"/>
      <c r="E72" s="308"/>
      <c r="F72" s="308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</row>
    <row r="73" spans="1:17">
      <c r="A73" s="99"/>
      <c r="B73" s="52"/>
      <c r="C73" s="308"/>
      <c r="D73" s="308"/>
      <c r="E73" s="308"/>
      <c r="F73" s="127"/>
      <c r="G73" s="161"/>
      <c r="H73" s="9"/>
      <c r="I73" s="127"/>
      <c r="J73" s="9"/>
      <c r="K73" s="9"/>
      <c r="L73" s="9"/>
      <c r="M73" s="9"/>
      <c r="N73" s="9"/>
      <c r="O73" s="9"/>
      <c r="P73" s="9"/>
      <c r="Q73" s="9"/>
    </row>
    <row r="74" spans="1:17">
      <c r="A74" s="99"/>
      <c r="B74" s="52"/>
      <c r="C74" s="308"/>
      <c r="D74" s="308"/>
      <c r="E74" s="308"/>
      <c r="F74" s="127"/>
      <c r="G74" s="161"/>
      <c r="H74" s="9"/>
      <c r="I74" s="127"/>
      <c r="J74" s="9"/>
      <c r="K74" s="9"/>
      <c r="L74" s="9"/>
      <c r="M74" s="9"/>
      <c r="N74" s="9"/>
      <c r="O74" s="9"/>
      <c r="P74" s="9"/>
      <c r="Q74" s="9"/>
    </row>
    <row r="75" spans="1:17">
      <c r="A75" s="99"/>
      <c r="B75" s="52"/>
      <c r="C75" s="308"/>
      <c r="D75" s="308"/>
      <c r="E75" s="308"/>
      <c r="F75" s="127"/>
      <c r="G75" s="161"/>
      <c r="H75" s="9"/>
      <c r="I75" s="127"/>
      <c r="J75" s="9"/>
      <c r="K75" s="9"/>
      <c r="L75" s="9"/>
      <c r="M75" s="9"/>
      <c r="N75" s="9"/>
      <c r="O75" s="9"/>
      <c r="P75" s="9"/>
      <c r="Q75" s="9"/>
    </row>
    <row r="76" spans="1:17">
      <c r="A76" s="99"/>
      <c r="B76" s="52"/>
      <c r="C76" s="308"/>
      <c r="D76" s="308"/>
      <c r="E76" s="308"/>
      <c r="F76" s="127"/>
      <c r="G76" s="161"/>
      <c r="H76" s="9"/>
      <c r="I76" s="127"/>
      <c r="J76" s="9"/>
      <c r="K76" s="9"/>
      <c r="L76" s="9"/>
      <c r="M76" s="9"/>
      <c r="N76" s="9"/>
      <c r="O76" s="9"/>
      <c r="P76" s="9"/>
      <c r="Q76" s="9"/>
    </row>
    <row r="77" spans="1:17">
      <c r="A77" s="99"/>
      <c r="B77" s="52"/>
      <c r="C77" s="308"/>
      <c r="D77" s="308"/>
      <c r="E77" s="308"/>
      <c r="F77" s="127"/>
      <c r="G77" s="161"/>
      <c r="H77" s="9"/>
      <c r="I77" s="127"/>
      <c r="J77" s="9"/>
      <c r="K77" s="9"/>
      <c r="L77" s="9"/>
      <c r="M77" s="9"/>
      <c r="N77" s="9"/>
      <c r="O77" s="9"/>
      <c r="P77" s="9"/>
      <c r="Q77" s="9"/>
    </row>
    <row r="78" spans="1:17">
      <c r="A78" s="99"/>
      <c r="B78" s="52"/>
      <c r="C78" s="308"/>
      <c r="D78" s="308"/>
      <c r="E78" s="308"/>
      <c r="F78" s="127"/>
      <c r="G78" s="161"/>
      <c r="H78" s="9"/>
      <c r="I78" s="127"/>
      <c r="J78" s="9"/>
      <c r="K78" s="9"/>
      <c r="L78" s="9"/>
      <c r="M78" s="9"/>
      <c r="N78" s="9"/>
      <c r="O78" s="9"/>
      <c r="P78" s="9"/>
      <c r="Q78" s="9"/>
    </row>
    <row r="79" spans="1:17">
      <c r="A79" s="9"/>
      <c r="B79" s="52"/>
      <c r="C79" s="308"/>
      <c r="D79" s="308"/>
      <c r="E79" s="308"/>
      <c r="F79" s="127"/>
      <c r="G79" s="9"/>
      <c r="H79" s="9"/>
      <c r="I79" s="9"/>
      <c r="J79" s="9"/>
      <c r="K79" s="9"/>
      <c r="L79" s="9"/>
      <c r="M79" s="308"/>
      <c r="N79" s="9"/>
      <c r="O79" s="127"/>
      <c r="P79" s="308"/>
      <c r="Q79" s="9"/>
    </row>
    <row r="80" spans="1:17">
      <c r="A80" s="9"/>
      <c r="B80" s="19"/>
      <c r="C80" s="308"/>
      <c r="D80" s="308"/>
      <c r="E80" s="308"/>
      <c r="F80" s="127"/>
      <c r="G80" s="118"/>
      <c r="H80" s="9"/>
      <c r="I80" s="127"/>
      <c r="J80" s="161"/>
      <c r="K80" s="9"/>
      <c r="L80" s="127"/>
      <c r="M80" s="9"/>
      <c r="N80" s="9"/>
      <c r="O80" s="127"/>
      <c r="P80" s="127"/>
      <c r="Q80" s="9"/>
    </row>
    <row r="81" spans="1:17">
      <c r="A81" s="99"/>
      <c r="B81" s="9"/>
      <c r="C81" s="308"/>
      <c r="D81" s="308"/>
      <c r="E81" s="308"/>
      <c r="F81" s="127"/>
      <c r="G81" s="161"/>
      <c r="H81" s="9"/>
      <c r="I81" s="127"/>
      <c r="J81" s="9"/>
      <c r="K81" s="9"/>
      <c r="L81" s="127"/>
      <c r="M81" s="9"/>
      <c r="N81" s="9"/>
      <c r="O81" s="127"/>
      <c r="P81" s="127"/>
      <c r="Q81" s="9"/>
    </row>
    <row r="82" spans="1:17">
      <c r="A82" s="99"/>
      <c r="B82" s="9"/>
      <c r="C82" s="308"/>
      <c r="D82" s="308"/>
      <c r="E82" s="308"/>
      <c r="F82" s="127"/>
      <c r="G82" s="161"/>
      <c r="H82" s="9"/>
      <c r="I82" s="127"/>
      <c r="J82" s="9"/>
      <c r="K82" s="9"/>
      <c r="L82" s="127"/>
      <c r="M82" s="9"/>
      <c r="N82" s="9"/>
      <c r="O82" s="127"/>
      <c r="P82" s="127"/>
      <c r="Q82" s="9"/>
    </row>
    <row r="83" spans="1:17">
      <c r="A83" s="99"/>
      <c r="B83" s="52"/>
      <c r="C83" s="308"/>
      <c r="D83" s="308"/>
      <c r="E83" s="308"/>
      <c r="F83" s="127"/>
      <c r="G83" s="161"/>
      <c r="H83" s="9"/>
      <c r="I83" s="127"/>
      <c r="J83" s="9"/>
      <c r="K83" s="9"/>
      <c r="L83" s="127"/>
      <c r="M83" s="9"/>
      <c r="N83" s="9"/>
      <c r="O83" s="127"/>
      <c r="P83" s="127"/>
      <c r="Q83" s="9"/>
    </row>
    <row r="84" spans="1:17">
      <c r="A84" s="99"/>
      <c r="B84" s="52"/>
      <c r="C84" s="308"/>
      <c r="D84" s="308"/>
      <c r="E84" s="308"/>
      <c r="F84" s="127"/>
      <c r="G84" s="161"/>
      <c r="H84" s="9"/>
      <c r="I84" s="127"/>
      <c r="J84" s="9"/>
      <c r="K84" s="9"/>
      <c r="L84" s="127"/>
      <c r="M84" s="9"/>
      <c r="N84" s="9"/>
      <c r="O84" s="127"/>
      <c r="P84" s="127"/>
      <c r="Q84" s="9"/>
    </row>
    <row r="85" spans="1:17">
      <c r="A85" s="99"/>
      <c r="B85" s="52"/>
      <c r="C85" s="308"/>
      <c r="D85" s="308"/>
      <c r="E85" s="308"/>
      <c r="F85" s="127"/>
      <c r="G85" s="161"/>
      <c r="H85" s="9"/>
      <c r="I85" s="127"/>
      <c r="J85" s="9"/>
      <c r="K85" s="9"/>
      <c r="L85" s="127"/>
      <c r="M85" s="9"/>
      <c r="N85" s="9"/>
      <c r="O85" s="127"/>
      <c r="P85" s="127"/>
      <c r="Q85" s="9"/>
    </row>
    <row r="86" spans="1:17">
      <c r="A86" s="99"/>
      <c r="B86" s="52"/>
      <c r="C86" s="308"/>
      <c r="D86" s="308"/>
      <c r="E86" s="308"/>
      <c r="F86" s="127"/>
      <c r="G86" s="161"/>
      <c r="H86" s="9"/>
      <c r="I86" s="127"/>
      <c r="J86" s="9"/>
      <c r="K86" s="9"/>
      <c r="L86" s="127"/>
      <c r="M86" s="9"/>
      <c r="N86" s="9"/>
      <c r="O86" s="127"/>
      <c r="P86" s="127"/>
      <c r="Q86" s="9"/>
    </row>
    <row r="87" spans="1:17">
      <c r="A87" s="9"/>
      <c r="B87" s="25"/>
      <c r="C87" s="308"/>
      <c r="D87" s="308"/>
      <c r="E87" s="308"/>
      <c r="F87" s="127"/>
      <c r="G87" s="118"/>
      <c r="H87" s="9"/>
      <c r="I87" s="127"/>
      <c r="J87" s="161"/>
      <c r="K87" s="9"/>
      <c r="L87" s="127"/>
      <c r="M87" s="9"/>
      <c r="N87" s="9"/>
      <c r="O87" s="127"/>
      <c r="P87" s="127"/>
      <c r="Q87" s="9"/>
    </row>
    <row r="88" spans="1:17">
      <c r="A88" s="99"/>
      <c r="B88" s="52"/>
      <c r="C88" s="308"/>
      <c r="D88" s="308"/>
      <c r="E88" s="308"/>
      <c r="F88" s="127"/>
      <c r="G88" s="161"/>
      <c r="H88" s="9"/>
      <c r="I88" s="127"/>
      <c r="J88" s="9"/>
      <c r="K88" s="9"/>
      <c r="L88" s="127"/>
      <c r="M88" s="9"/>
      <c r="N88" s="9"/>
      <c r="O88" s="127"/>
      <c r="P88" s="127"/>
      <c r="Q88" s="9"/>
    </row>
    <row r="89" spans="1:17">
      <c r="A89" s="99"/>
      <c r="B89" s="52"/>
      <c r="C89" s="308"/>
      <c r="D89" s="308"/>
      <c r="E89" s="308"/>
      <c r="F89" s="127"/>
      <c r="G89" s="161"/>
      <c r="H89" s="9"/>
      <c r="I89" s="127"/>
      <c r="J89" s="9"/>
      <c r="K89" s="9"/>
      <c r="L89" s="127"/>
      <c r="M89" s="9"/>
      <c r="N89" s="9"/>
      <c r="O89" s="127"/>
      <c r="P89" s="127"/>
      <c r="Q89" s="9"/>
    </row>
    <row r="90" spans="1:17">
      <c r="A90" s="99"/>
      <c r="B90" s="52"/>
      <c r="C90" s="308"/>
      <c r="D90" s="308"/>
      <c r="E90" s="308"/>
      <c r="F90" s="127"/>
      <c r="G90" s="161"/>
      <c r="H90" s="9"/>
      <c r="I90" s="127"/>
      <c r="J90" s="9"/>
      <c r="K90" s="9"/>
      <c r="L90" s="127"/>
      <c r="M90" s="9"/>
      <c r="N90" s="9"/>
      <c r="O90" s="127"/>
      <c r="P90" s="127"/>
      <c r="Q90" s="9"/>
    </row>
    <row r="91" spans="1:17">
      <c r="A91" s="99"/>
      <c r="B91" s="52"/>
      <c r="C91" s="308"/>
      <c r="D91" s="308"/>
      <c r="E91" s="308"/>
      <c r="F91" s="127"/>
      <c r="G91" s="161"/>
      <c r="H91" s="9"/>
      <c r="I91" s="127"/>
      <c r="J91" s="9"/>
      <c r="K91" s="9"/>
      <c r="L91" s="127"/>
      <c r="M91" s="9"/>
      <c r="N91" s="9"/>
      <c r="O91" s="127"/>
      <c r="P91" s="127"/>
      <c r="Q91" s="9"/>
    </row>
    <row r="92" spans="1:17">
      <c r="A92" s="99"/>
      <c r="B92" s="52"/>
      <c r="C92" s="308"/>
      <c r="D92" s="308"/>
      <c r="E92" s="308"/>
      <c r="F92" s="127"/>
      <c r="G92" s="161"/>
      <c r="H92" s="9"/>
      <c r="I92" s="127"/>
      <c r="J92" s="9"/>
      <c r="K92" s="9"/>
      <c r="L92" s="127"/>
      <c r="M92" s="9"/>
      <c r="N92" s="9"/>
      <c r="O92" s="127"/>
      <c r="P92" s="127"/>
      <c r="Q92" s="9"/>
    </row>
    <row r="93" spans="1:17">
      <c r="A93" s="99"/>
      <c r="B93" s="52"/>
      <c r="C93" s="308"/>
      <c r="D93" s="308"/>
      <c r="E93" s="308"/>
      <c r="F93" s="127"/>
      <c r="G93" s="161"/>
      <c r="H93" s="9"/>
      <c r="I93" s="127"/>
      <c r="J93" s="9"/>
      <c r="K93" s="9"/>
      <c r="L93" s="127"/>
      <c r="M93" s="9"/>
      <c r="N93" s="9"/>
      <c r="O93" s="127"/>
      <c r="P93" s="127"/>
      <c r="Q93" s="9"/>
    </row>
    <row r="94" spans="1:17">
      <c r="A94" s="2"/>
      <c r="B94" s="19"/>
      <c r="C94" s="308"/>
      <c r="D94" s="308"/>
      <c r="E94" s="308"/>
      <c r="F94" s="127"/>
      <c r="G94" s="118"/>
      <c r="H94" s="9"/>
      <c r="I94" s="127"/>
      <c r="J94" s="161"/>
      <c r="K94" s="9"/>
      <c r="L94" s="127"/>
      <c r="M94" s="9"/>
      <c r="N94" s="9"/>
      <c r="O94" s="127"/>
      <c r="P94" s="127"/>
      <c r="Q94" s="9"/>
    </row>
    <row r="95" spans="1:17">
      <c r="A95" s="99"/>
      <c r="B95" s="9"/>
      <c r="C95" s="308"/>
      <c r="D95" s="308"/>
      <c r="E95" s="308"/>
      <c r="F95" s="127"/>
      <c r="G95" s="161"/>
      <c r="H95" s="9"/>
      <c r="I95" s="127"/>
      <c r="J95" s="9"/>
      <c r="K95" s="9"/>
      <c r="L95" s="127"/>
      <c r="M95" s="9"/>
      <c r="N95" s="9"/>
      <c r="O95" s="127"/>
      <c r="P95" s="127"/>
      <c r="Q95" s="9"/>
    </row>
    <row r="96" spans="1:17">
      <c r="A96" s="99"/>
      <c r="B96" s="9"/>
      <c r="C96" s="308"/>
      <c r="D96" s="308"/>
      <c r="E96" s="308"/>
      <c r="F96" s="127"/>
      <c r="G96" s="161"/>
      <c r="H96" s="9"/>
      <c r="I96" s="127"/>
      <c r="J96" s="9"/>
      <c r="K96" s="9"/>
      <c r="L96" s="127"/>
      <c r="M96" s="9"/>
      <c r="N96" s="9"/>
      <c r="O96" s="127"/>
      <c r="P96" s="127"/>
      <c r="Q96" s="9"/>
    </row>
    <row r="97" spans="1:17">
      <c r="A97" s="99"/>
      <c r="B97" s="52"/>
      <c r="C97" s="308"/>
      <c r="D97" s="308"/>
      <c r="E97" s="308"/>
      <c r="F97" s="127"/>
      <c r="G97" s="161"/>
      <c r="H97" s="9"/>
      <c r="I97" s="127"/>
      <c r="J97" s="9"/>
      <c r="K97" s="9"/>
      <c r="L97" s="127"/>
      <c r="M97" s="9"/>
      <c r="N97" s="9"/>
      <c r="O97" s="127"/>
      <c r="P97" s="127"/>
      <c r="Q97" s="9"/>
    </row>
    <row r="98" spans="1:17">
      <c r="A98" s="99"/>
      <c r="B98" s="52"/>
      <c r="C98" s="308"/>
      <c r="D98" s="308"/>
      <c r="E98" s="308"/>
      <c r="F98" s="127"/>
      <c r="G98" s="161"/>
      <c r="H98" s="9"/>
      <c r="I98" s="127"/>
      <c r="J98" s="9"/>
      <c r="K98" s="9"/>
      <c r="L98" s="127"/>
      <c r="M98" s="9"/>
      <c r="N98" s="9"/>
      <c r="O98" s="127"/>
      <c r="P98" s="127"/>
      <c r="Q98" s="9"/>
    </row>
    <row r="99" spans="1:17">
      <c r="A99" s="99"/>
      <c r="B99" s="52"/>
      <c r="C99" s="308"/>
      <c r="D99" s="308"/>
      <c r="E99" s="308"/>
      <c r="F99" s="127"/>
      <c r="G99" s="161"/>
      <c r="H99" s="9"/>
      <c r="I99" s="127"/>
      <c r="J99" s="9"/>
      <c r="K99" s="9"/>
      <c r="L99" s="127"/>
      <c r="M99" s="9"/>
      <c r="N99" s="9"/>
      <c r="O99" s="127"/>
      <c r="P99" s="127"/>
      <c r="Q99" s="9"/>
    </row>
    <row r="100" spans="1:17">
      <c r="A100" s="99"/>
      <c r="B100" s="52"/>
      <c r="C100" s="308"/>
      <c r="D100" s="308"/>
      <c r="E100" s="308"/>
      <c r="F100" s="127"/>
      <c r="G100" s="161"/>
      <c r="H100" s="9"/>
      <c r="I100" s="127"/>
      <c r="J100" s="9"/>
      <c r="K100" s="9"/>
      <c r="L100" s="127"/>
      <c r="M100" s="9"/>
      <c r="N100" s="9"/>
      <c r="O100" s="127"/>
      <c r="P100" s="127"/>
      <c r="Q100" s="9"/>
    </row>
    <row r="101" spans="1:17">
      <c r="A101" s="9"/>
      <c r="B101" s="100"/>
      <c r="C101" s="308"/>
      <c r="D101" s="308"/>
      <c r="E101" s="41"/>
      <c r="F101" s="127"/>
      <c r="G101" s="9"/>
      <c r="H101" s="2"/>
      <c r="I101" s="127"/>
      <c r="J101" s="9"/>
      <c r="K101" s="9"/>
      <c r="L101" s="9"/>
      <c r="M101" s="308"/>
      <c r="N101" s="9"/>
      <c r="O101" s="127"/>
      <c r="P101" s="9"/>
      <c r="Q101" s="9"/>
    </row>
    <row r="102" spans="1:17">
      <c r="A102" s="9"/>
      <c r="B102" s="9"/>
      <c r="C102" s="23"/>
      <c r="D102" s="23"/>
      <c r="E102" s="23"/>
      <c r="F102" s="308"/>
      <c r="G102" s="9"/>
      <c r="H102" s="9"/>
      <c r="I102" s="9"/>
      <c r="J102" s="9"/>
      <c r="K102" s="9"/>
      <c r="L102" s="330"/>
      <c r="M102" s="330"/>
      <c r="N102" s="23"/>
      <c r="O102" s="23"/>
      <c r="P102" s="23"/>
      <c r="Q102" s="9"/>
    </row>
    <row r="103" spans="1:17">
      <c r="A103" s="2"/>
      <c r="B103" s="9"/>
      <c r="C103" s="308"/>
      <c r="D103" s="308"/>
      <c r="E103" s="308"/>
      <c r="F103" s="31"/>
      <c r="G103" s="121"/>
      <c r="H103" s="2"/>
      <c r="I103" s="121"/>
      <c r="J103" s="9"/>
      <c r="K103" s="121"/>
      <c r="L103" s="322"/>
      <c r="M103" s="322"/>
      <c r="N103" s="95"/>
      <c r="O103" s="95"/>
      <c r="P103" s="95"/>
      <c r="Q103" s="9"/>
    </row>
    <row r="104" spans="1:17">
      <c r="A104" s="9"/>
      <c r="B104" s="2"/>
      <c r="C104" s="308"/>
      <c r="D104" s="308"/>
      <c r="E104" s="308"/>
      <c r="F104" s="31"/>
      <c r="G104" s="121"/>
      <c r="H104" s="2"/>
      <c r="I104" s="121"/>
      <c r="J104" s="9"/>
      <c r="K104" s="121"/>
      <c r="L104" s="322"/>
      <c r="M104" s="322"/>
      <c r="N104" s="95"/>
      <c r="O104" s="95"/>
      <c r="P104" s="95"/>
      <c r="Q104" s="9"/>
    </row>
    <row r="105" spans="1:17">
      <c r="A105" s="77"/>
      <c r="B105" s="9"/>
      <c r="C105" s="308"/>
      <c r="D105" s="308"/>
      <c r="E105" s="308"/>
      <c r="F105" s="31"/>
      <c r="G105" s="121"/>
      <c r="H105" s="9"/>
      <c r="I105" s="121"/>
      <c r="J105" s="9"/>
      <c r="K105" s="121"/>
      <c r="L105" s="322"/>
      <c r="M105" s="322"/>
      <c r="N105" s="95"/>
      <c r="O105" s="95"/>
      <c r="P105" s="95"/>
      <c r="Q105" s="9"/>
    </row>
    <row r="106" spans="1:17">
      <c r="A106" s="197"/>
      <c r="B106" s="9"/>
      <c r="C106" s="22"/>
      <c r="D106" s="22"/>
      <c r="E106" s="22"/>
      <c r="F106" s="31"/>
      <c r="G106" s="121"/>
      <c r="H106" s="9"/>
      <c r="I106" s="121"/>
      <c r="J106" s="9"/>
      <c r="K106" s="121"/>
      <c r="L106" s="162"/>
      <c r="M106" s="162"/>
      <c r="N106" s="95"/>
      <c r="O106" s="95"/>
      <c r="P106" s="95"/>
      <c r="Q106" s="9"/>
    </row>
    <row r="107" spans="1:17" ht="13.5" customHeight="1">
      <c r="A107" s="99"/>
      <c r="B107" s="201"/>
      <c r="C107" s="232"/>
      <c r="D107" s="232"/>
      <c r="E107" s="232"/>
      <c r="F107" s="232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</row>
    <row r="108" spans="1:17" ht="15.75" customHeight="1">
      <c r="A108" s="99"/>
      <c r="B108" s="201"/>
      <c r="C108" s="232"/>
      <c r="D108" s="232"/>
      <c r="E108" s="232"/>
      <c r="F108" s="127"/>
      <c r="G108" s="161"/>
      <c r="H108" s="9"/>
      <c r="I108" s="127"/>
      <c r="J108" s="9"/>
      <c r="K108" s="9"/>
      <c r="L108" s="9"/>
      <c r="M108" s="9"/>
      <c r="N108" s="9"/>
      <c r="O108" s="9"/>
      <c r="P108" s="9"/>
      <c r="Q108" s="9"/>
    </row>
    <row r="109" spans="1:17" ht="15" customHeight="1">
      <c r="A109" s="99"/>
      <c r="B109" s="201"/>
      <c r="C109" s="232"/>
      <c r="D109" s="232"/>
      <c r="E109" s="232"/>
      <c r="F109" s="127"/>
      <c r="G109" s="161"/>
      <c r="H109" s="9"/>
      <c r="I109" s="127"/>
      <c r="J109" s="9"/>
      <c r="K109" s="9"/>
      <c r="L109" s="9"/>
      <c r="M109" s="9"/>
      <c r="N109" s="9"/>
      <c r="O109" s="9"/>
      <c r="P109" s="9"/>
      <c r="Q109" s="9"/>
    </row>
    <row r="110" spans="1:17" ht="15" customHeight="1">
      <c r="A110" s="99"/>
      <c r="B110" s="201"/>
      <c r="C110" s="232"/>
      <c r="D110" s="232"/>
      <c r="E110" s="232"/>
      <c r="F110" s="127"/>
      <c r="G110" s="161"/>
      <c r="H110" s="9"/>
      <c r="I110" s="127"/>
      <c r="J110" s="9"/>
      <c r="K110" s="9"/>
      <c r="L110" s="9"/>
      <c r="M110" s="9"/>
      <c r="N110" s="9"/>
      <c r="O110" s="9"/>
      <c r="P110" s="9"/>
      <c r="Q110" s="9"/>
    </row>
    <row r="111" spans="1:17" ht="15" customHeight="1">
      <c r="A111" s="99"/>
      <c r="B111" s="201"/>
      <c r="C111" s="232"/>
      <c r="D111" s="232"/>
      <c r="E111" s="232"/>
      <c r="F111" s="127"/>
      <c r="G111" s="161"/>
      <c r="H111" s="9"/>
      <c r="I111" s="127"/>
      <c r="J111" s="9"/>
      <c r="K111" s="9"/>
      <c r="L111" s="9"/>
      <c r="M111" s="9"/>
      <c r="N111" s="9"/>
      <c r="O111" s="9"/>
      <c r="P111" s="9"/>
      <c r="Q111" s="9"/>
    </row>
    <row r="112" spans="1:17" ht="15" customHeight="1">
      <c r="A112" s="99"/>
      <c r="B112" s="201"/>
      <c r="C112" s="232"/>
      <c r="D112" s="232"/>
      <c r="E112" s="232"/>
      <c r="F112" s="127"/>
      <c r="G112" s="161"/>
      <c r="H112" s="9"/>
      <c r="I112" s="127"/>
      <c r="J112" s="9"/>
      <c r="K112" s="9"/>
      <c r="L112" s="9"/>
      <c r="M112" s="9"/>
      <c r="N112" s="9"/>
      <c r="O112" s="9"/>
      <c r="P112" s="9"/>
      <c r="Q112" s="9"/>
    </row>
    <row r="113" spans="1:17" ht="15" customHeight="1">
      <c r="A113" s="99"/>
      <c r="B113" s="201"/>
      <c r="C113" s="232"/>
      <c r="D113" s="232"/>
      <c r="E113" s="232"/>
      <c r="F113" s="127"/>
      <c r="G113" s="161"/>
      <c r="H113" s="9"/>
      <c r="I113" s="127"/>
      <c r="J113" s="9"/>
      <c r="K113" s="9"/>
      <c r="L113" s="9"/>
      <c r="M113" s="9"/>
      <c r="N113" s="9"/>
      <c r="O113" s="9"/>
      <c r="P113" s="9"/>
      <c r="Q113" s="9"/>
    </row>
    <row r="114" spans="1:17" ht="15" customHeight="1">
      <c r="A114" s="9"/>
      <c r="B114" s="201"/>
      <c r="C114" s="232"/>
      <c r="D114" s="232"/>
      <c r="E114" s="232"/>
      <c r="F114" s="127"/>
      <c r="G114" s="9"/>
      <c r="H114" s="9"/>
      <c r="I114" s="9"/>
      <c r="J114" s="9"/>
      <c r="K114" s="9"/>
      <c r="L114" s="9"/>
      <c r="M114" s="232"/>
      <c r="N114" s="9"/>
      <c r="O114" s="127"/>
      <c r="P114" s="232"/>
      <c r="Q114" s="9"/>
    </row>
    <row r="115" spans="1:17">
      <c r="A115" s="9"/>
      <c r="B115" s="201"/>
      <c r="C115" s="232"/>
      <c r="D115" s="232"/>
      <c r="E115" s="232"/>
      <c r="F115" s="127"/>
      <c r="G115" s="118"/>
      <c r="H115" s="9"/>
      <c r="I115" s="127"/>
      <c r="J115" s="161"/>
      <c r="K115" s="9"/>
      <c r="L115" s="127"/>
      <c r="M115" s="9"/>
      <c r="N115" s="9"/>
      <c r="O115" s="127"/>
      <c r="P115" s="127"/>
      <c r="Q115" s="9"/>
    </row>
    <row r="116" spans="1:17">
      <c r="A116" s="99"/>
      <c r="B116" s="206"/>
      <c r="C116" s="232"/>
      <c r="D116" s="232"/>
      <c r="E116" s="232"/>
      <c r="F116" s="127"/>
      <c r="G116" s="161"/>
      <c r="H116" s="9"/>
      <c r="I116" s="127"/>
      <c r="J116" s="9"/>
      <c r="K116" s="9"/>
      <c r="L116" s="127"/>
      <c r="M116" s="9"/>
      <c r="N116" s="9"/>
      <c r="O116" s="127"/>
      <c r="P116" s="127"/>
      <c r="Q116" s="9"/>
    </row>
    <row r="117" spans="1:17" ht="15" customHeight="1">
      <c r="A117" s="99"/>
      <c r="B117" s="206"/>
      <c r="C117" s="232"/>
      <c r="D117" s="232"/>
      <c r="E117" s="232"/>
      <c r="F117" s="127"/>
      <c r="G117" s="161"/>
      <c r="H117" s="9"/>
      <c r="I117" s="127"/>
      <c r="J117" s="9"/>
      <c r="K117" s="9"/>
      <c r="L117" s="127"/>
      <c r="M117" s="9"/>
      <c r="N117" s="9"/>
      <c r="O117" s="127"/>
      <c r="P117" s="127"/>
      <c r="Q117" s="9"/>
    </row>
    <row r="118" spans="1:17" ht="15" customHeight="1">
      <c r="A118" s="99"/>
      <c r="B118" s="201"/>
      <c r="C118" s="232"/>
      <c r="D118" s="232"/>
      <c r="E118" s="232"/>
      <c r="F118" s="127"/>
      <c r="G118" s="161"/>
      <c r="H118" s="9"/>
      <c r="I118" s="127"/>
      <c r="J118" s="9"/>
      <c r="K118" s="9"/>
      <c r="L118" s="127"/>
      <c r="M118" s="9"/>
      <c r="N118" s="9"/>
      <c r="O118" s="127"/>
      <c r="P118" s="127"/>
      <c r="Q118" s="9"/>
    </row>
    <row r="119" spans="1:17" ht="15" customHeight="1">
      <c r="A119" s="99"/>
      <c r="B119" s="201"/>
      <c r="C119" s="232"/>
      <c r="D119" s="232"/>
      <c r="E119" s="232"/>
      <c r="F119" s="127"/>
      <c r="G119" s="161"/>
      <c r="H119" s="9"/>
      <c r="I119" s="127"/>
      <c r="J119" s="9"/>
      <c r="K119" s="9"/>
      <c r="L119" s="127"/>
      <c r="M119" s="9"/>
      <c r="N119" s="9"/>
      <c r="O119" s="127"/>
      <c r="P119" s="127"/>
      <c r="Q119" s="9"/>
    </row>
    <row r="120" spans="1:17" ht="15" customHeight="1">
      <c r="A120" s="99"/>
      <c r="B120" s="201"/>
      <c r="C120" s="232"/>
      <c r="D120" s="232"/>
      <c r="E120" s="232"/>
      <c r="F120" s="127"/>
      <c r="G120" s="161"/>
      <c r="H120" s="9"/>
      <c r="I120" s="127"/>
      <c r="J120" s="9"/>
      <c r="K120" s="9"/>
      <c r="L120" s="127"/>
      <c r="M120" s="9"/>
      <c r="N120" s="9"/>
      <c r="O120" s="127"/>
      <c r="P120" s="127"/>
      <c r="Q120" s="9"/>
    </row>
    <row r="121" spans="1:17" ht="15" customHeight="1">
      <c r="A121" s="99"/>
      <c r="B121" s="201"/>
      <c r="C121" s="232"/>
      <c r="D121" s="232"/>
      <c r="E121" s="232"/>
      <c r="F121" s="127"/>
      <c r="G121" s="161"/>
      <c r="H121" s="9"/>
      <c r="I121" s="127"/>
      <c r="J121" s="9"/>
      <c r="K121" s="9"/>
      <c r="L121" s="127"/>
      <c r="M121" s="9"/>
      <c r="N121" s="9"/>
      <c r="O121" s="127"/>
      <c r="P121" s="127"/>
      <c r="Q121" s="9"/>
    </row>
    <row r="122" spans="1:17" ht="15" customHeight="1">
      <c r="A122" s="9"/>
      <c r="B122" s="201"/>
      <c r="C122" s="232"/>
      <c r="D122" s="232"/>
      <c r="E122" s="232"/>
      <c r="F122" s="127"/>
      <c r="G122" s="118"/>
      <c r="H122" s="9"/>
      <c r="I122" s="127"/>
      <c r="J122" s="161"/>
      <c r="K122" s="9"/>
      <c r="L122" s="127"/>
      <c r="M122" s="9"/>
      <c r="N122" s="9"/>
      <c r="O122" s="127"/>
      <c r="P122" s="127"/>
      <c r="Q122" s="9"/>
    </row>
    <row r="123" spans="1:17">
      <c r="A123" s="99"/>
      <c r="B123" s="201"/>
      <c r="C123" s="232"/>
      <c r="D123" s="232"/>
      <c r="E123" s="232"/>
      <c r="F123" s="127"/>
      <c r="G123" s="161"/>
      <c r="H123" s="9"/>
      <c r="I123" s="127"/>
      <c r="J123" s="9"/>
      <c r="K123" s="9"/>
      <c r="L123" s="127"/>
      <c r="M123" s="9"/>
      <c r="N123" s="9"/>
      <c r="O123" s="127"/>
      <c r="P123" s="127"/>
      <c r="Q123" s="9"/>
    </row>
    <row r="124" spans="1:17" ht="15" customHeight="1">
      <c r="A124" s="99"/>
      <c r="B124" s="201"/>
      <c r="C124" s="232"/>
      <c r="D124" s="232"/>
      <c r="E124" s="232"/>
      <c r="F124" s="127"/>
      <c r="G124" s="161"/>
      <c r="H124" s="9"/>
      <c r="I124" s="127"/>
      <c r="J124" s="9"/>
      <c r="K124" s="9"/>
      <c r="L124" s="127"/>
      <c r="M124" s="9"/>
      <c r="N124" s="9"/>
      <c r="O124" s="127"/>
      <c r="P124" s="127"/>
      <c r="Q124" s="9"/>
    </row>
    <row r="125" spans="1:17" ht="15" customHeight="1">
      <c r="A125" s="99"/>
      <c r="B125" s="201"/>
      <c r="C125" s="232"/>
      <c r="D125" s="232"/>
      <c r="E125" s="232"/>
      <c r="F125" s="127"/>
      <c r="G125" s="161"/>
      <c r="H125" s="9"/>
      <c r="I125" s="127"/>
      <c r="J125" s="9"/>
      <c r="K125" s="9"/>
      <c r="L125" s="127"/>
      <c r="M125" s="9"/>
      <c r="N125" s="9"/>
      <c r="O125" s="127"/>
      <c r="P125" s="127"/>
      <c r="Q125" s="9"/>
    </row>
    <row r="126" spans="1:17" ht="15" customHeight="1">
      <c r="A126" s="99"/>
      <c r="B126" s="201"/>
      <c r="C126" s="232"/>
      <c r="D126" s="232"/>
      <c r="E126" s="232"/>
      <c r="F126" s="127"/>
      <c r="G126" s="161"/>
      <c r="H126" s="9"/>
      <c r="I126" s="127"/>
      <c r="J126" s="9"/>
      <c r="K126" s="9"/>
      <c r="L126" s="127"/>
      <c r="M126" s="9"/>
      <c r="N126" s="9"/>
      <c r="O126" s="127"/>
      <c r="P126" s="127"/>
      <c r="Q126" s="9"/>
    </row>
    <row r="127" spans="1:17" ht="15" customHeight="1">
      <c r="A127" s="99"/>
      <c r="B127" s="201"/>
      <c r="C127" s="232"/>
      <c r="D127" s="232"/>
      <c r="E127" s="232"/>
      <c r="F127" s="127"/>
      <c r="G127" s="161"/>
      <c r="H127" s="9"/>
      <c r="I127" s="127"/>
      <c r="J127" s="9"/>
      <c r="K127" s="9"/>
      <c r="L127" s="127"/>
      <c r="M127" s="9"/>
      <c r="N127" s="9"/>
      <c r="O127" s="127"/>
      <c r="P127" s="127"/>
      <c r="Q127" s="9"/>
    </row>
    <row r="128" spans="1:17" ht="15" customHeight="1">
      <c r="A128" s="99"/>
      <c r="B128" s="201"/>
      <c r="C128" s="232"/>
      <c r="D128" s="232"/>
      <c r="E128" s="232"/>
      <c r="F128" s="127"/>
      <c r="G128" s="161"/>
      <c r="H128" s="9"/>
      <c r="I128" s="127"/>
      <c r="J128" s="9"/>
      <c r="K128" s="9"/>
      <c r="L128" s="127"/>
      <c r="M128" s="9"/>
      <c r="N128" s="9"/>
      <c r="O128" s="127"/>
      <c r="P128" s="127"/>
      <c r="Q128" s="9"/>
    </row>
    <row r="129" spans="1:17" ht="15" customHeight="1">
      <c r="A129" s="2"/>
      <c r="B129" s="201"/>
      <c r="C129" s="232"/>
      <c r="D129" s="232"/>
      <c r="E129" s="232"/>
      <c r="F129" s="127"/>
      <c r="G129" s="118"/>
      <c r="H129" s="9"/>
      <c r="I129" s="127"/>
      <c r="J129" s="161"/>
      <c r="K129" s="9"/>
      <c r="L129" s="127"/>
      <c r="M129" s="9"/>
      <c r="N129" s="9"/>
      <c r="O129" s="127"/>
      <c r="P129" s="127"/>
      <c r="Q129" s="9"/>
    </row>
    <row r="130" spans="1:17">
      <c r="A130" s="99"/>
      <c r="B130" s="201"/>
      <c r="C130" s="232"/>
      <c r="D130" s="232"/>
      <c r="E130" s="232"/>
      <c r="F130" s="127"/>
      <c r="G130" s="161"/>
      <c r="H130" s="9"/>
      <c r="I130" s="127"/>
      <c r="J130" s="9"/>
      <c r="K130" s="9"/>
      <c r="L130" s="127"/>
      <c r="M130" s="9"/>
      <c r="N130" s="9"/>
      <c r="O130" s="127"/>
      <c r="P130" s="127"/>
      <c r="Q130" s="9"/>
    </row>
    <row r="131" spans="1:17" ht="15" customHeight="1">
      <c r="A131" s="99"/>
      <c r="B131" s="201"/>
      <c r="C131" s="232"/>
      <c r="D131" s="232"/>
      <c r="E131" s="232"/>
      <c r="F131" s="127"/>
      <c r="G131" s="161"/>
      <c r="H131" s="9"/>
      <c r="I131" s="127"/>
      <c r="J131" s="9"/>
      <c r="K131" s="9"/>
      <c r="L131" s="127"/>
      <c r="M131" s="9"/>
      <c r="N131" s="9"/>
      <c r="O131" s="127"/>
      <c r="P131" s="127"/>
      <c r="Q131" s="9"/>
    </row>
    <row r="132" spans="1:17" ht="15" customHeight="1">
      <c r="A132" s="99"/>
      <c r="B132" s="201"/>
      <c r="C132" s="232"/>
      <c r="D132" s="232"/>
      <c r="E132" s="232"/>
      <c r="F132" s="127"/>
      <c r="G132" s="161"/>
      <c r="H132" s="9"/>
      <c r="I132" s="127"/>
      <c r="J132" s="9"/>
      <c r="K132" s="9"/>
      <c r="L132" s="127"/>
      <c r="M132" s="9"/>
      <c r="N132" s="9"/>
      <c r="O132" s="127"/>
      <c r="P132" s="127"/>
      <c r="Q132" s="9"/>
    </row>
    <row r="133" spans="1:17" ht="15" customHeight="1">
      <c r="A133" s="99"/>
      <c r="B133" s="201"/>
      <c r="C133" s="232"/>
      <c r="D133" s="232"/>
      <c r="E133" s="232"/>
      <c r="F133" s="127"/>
      <c r="G133" s="161"/>
      <c r="H133" s="9"/>
      <c r="I133" s="127"/>
      <c r="J133" s="9"/>
      <c r="K133" s="9"/>
      <c r="L133" s="127"/>
      <c r="M133" s="9"/>
      <c r="N133" s="9"/>
      <c r="O133" s="127"/>
      <c r="P133" s="127"/>
      <c r="Q133" s="9"/>
    </row>
    <row r="134" spans="1:17" ht="15" customHeight="1">
      <c r="A134" s="99"/>
      <c r="B134" s="201"/>
      <c r="C134" s="232"/>
      <c r="D134" s="232"/>
      <c r="E134" s="232"/>
      <c r="F134" s="127"/>
      <c r="G134" s="161"/>
      <c r="H134" s="9"/>
      <c r="I134" s="127"/>
      <c r="J134" s="9"/>
      <c r="K134" s="9"/>
      <c r="L134" s="127"/>
      <c r="M134" s="9"/>
      <c r="N134" s="9"/>
      <c r="O134" s="127"/>
      <c r="P134" s="127"/>
      <c r="Q134" s="9"/>
    </row>
    <row r="135" spans="1:17" ht="15" customHeight="1">
      <c r="A135" s="99"/>
      <c r="B135" s="201"/>
      <c r="C135" s="232"/>
      <c r="D135" s="232"/>
      <c r="E135" s="232"/>
      <c r="F135" s="127"/>
      <c r="G135" s="161"/>
      <c r="H135" s="9"/>
      <c r="I135" s="127"/>
      <c r="J135" s="9"/>
      <c r="K135" s="9"/>
      <c r="L135" s="127"/>
      <c r="M135" s="9"/>
      <c r="N135" s="9"/>
      <c r="O135" s="127"/>
      <c r="P135" s="127"/>
      <c r="Q135" s="9"/>
    </row>
    <row r="136" spans="1:17" ht="15" customHeight="1">
      <c r="A136" s="9"/>
      <c r="B136" s="100"/>
      <c r="C136" s="232"/>
      <c r="D136" s="232"/>
      <c r="E136" s="41"/>
      <c r="F136" s="207"/>
      <c r="G136" s="9"/>
      <c r="H136" s="2"/>
      <c r="I136" s="127"/>
      <c r="J136" s="9"/>
      <c r="K136" s="9"/>
      <c r="L136" s="9"/>
      <c r="M136" s="232"/>
      <c r="N136" s="9"/>
      <c r="O136" s="127"/>
      <c r="P136" s="9"/>
      <c r="Q136" s="9"/>
    </row>
    <row r="137" spans="1:17">
      <c r="A137" s="9"/>
      <c r="B137" s="9"/>
      <c r="C137" s="23"/>
      <c r="D137" s="23"/>
      <c r="E137" s="23"/>
      <c r="F137" s="232"/>
      <c r="G137" s="9"/>
      <c r="H137" s="9"/>
      <c r="I137" s="9"/>
      <c r="J137" s="9"/>
      <c r="K137" s="9"/>
      <c r="L137" s="330"/>
      <c r="M137" s="330"/>
      <c r="N137" s="23"/>
      <c r="O137" s="23"/>
      <c r="P137" s="23"/>
      <c r="Q137" s="9"/>
    </row>
    <row r="138" spans="1:17">
      <c r="A138" s="2"/>
      <c r="B138" s="9"/>
      <c r="C138" s="232"/>
      <c r="D138" s="232"/>
      <c r="E138" s="232"/>
      <c r="F138" s="31"/>
      <c r="G138" s="121"/>
      <c r="H138" s="2"/>
      <c r="I138" s="121"/>
      <c r="J138" s="9"/>
      <c r="K138" s="121"/>
      <c r="L138" s="322"/>
      <c r="M138" s="322"/>
      <c r="N138" s="95"/>
      <c r="O138" s="95"/>
      <c r="P138" s="95"/>
      <c r="Q138" s="9"/>
    </row>
    <row r="139" spans="1:17">
      <c r="A139" s="9"/>
      <c r="B139" s="2"/>
      <c r="C139" s="232"/>
      <c r="D139" s="232"/>
      <c r="E139" s="232"/>
      <c r="F139" s="31"/>
      <c r="G139" s="121"/>
      <c r="H139" s="2"/>
      <c r="I139" s="121"/>
      <c r="J139" s="9"/>
      <c r="K139" s="121"/>
      <c r="L139" s="322"/>
      <c r="M139" s="322"/>
      <c r="N139" s="95"/>
      <c r="O139" s="95"/>
      <c r="P139" s="95"/>
      <c r="Q139" s="9"/>
    </row>
    <row r="140" spans="1:17">
      <c r="A140" s="77"/>
      <c r="B140" s="9"/>
      <c r="C140" s="232"/>
      <c r="D140" s="232"/>
      <c r="E140" s="232"/>
      <c r="F140" s="31"/>
      <c r="G140" s="121"/>
      <c r="H140" s="9"/>
      <c r="I140" s="121"/>
      <c r="J140" s="9"/>
      <c r="K140" s="121"/>
      <c r="L140" s="322"/>
      <c r="M140" s="322"/>
      <c r="N140" s="95"/>
      <c r="O140" s="95"/>
      <c r="P140" s="95"/>
      <c r="Q140" s="9"/>
    </row>
    <row r="141" spans="1:17">
      <c r="A141" s="198"/>
      <c r="B141" s="175"/>
      <c r="C141" s="60"/>
      <c r="D141" s="60"/>
      <c r="E141" s="60"/>
      <c r="F141" s="195"/>
      <c r="G141" s="196"/>
      <c r="H141" s="175"/>
      <c r="I141" s="196"/>
      <c r="J141" s="175"/>
      <c r="K141" s="196"/>
      <c r="L141" s="331"/>
      <c r="M141" s="331"/>
      <c r="N141" s="96"/>
      <c r="O141" s="96"/>
      <c r="P141" s="96"/>
      <c r="Q141" s="175"/>
    </row>
  </sheetData>
  <mergeCells count="17">
    <mergeCell ref="L137:M137"/>
    <mergeCell ref="L138:M138"/>
    <mergeCell ref="L139:M139"/>
    <mergeCell ref="L140:M140"/>
    <mergeCell ref="L141:M141"/>
    <mergeCell ref="L32:M32"/>
    <mergeCell ref="L33:M33"/>
    <mergeCell ref="L34:M34"/>
    <mergeCell ref="L35:M35"/>
    <mergeCell ref="L67:M67"/>
    <mergeCell ref="L102:M102"/>
    <mergeCell ref="L103:M103"/>
    <mergeCell ref="L104:M104"/>
    <mergeCell ref="L105:M105"/>
    <mergeCell ref="L68:M68"/>
    <mergeCell ref="L69:M69"/>
    <mergeCell ref="L70:M70"/>
  </mergeCells>
  <conditionalFormatting sqref="P9:P23 N9">
    <cfRule type="colorScale" priority="112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32:N34">
    <cfRule type="colorScale" priority="111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P9:P23">
    <cfRule type="colorScale" priority="110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O25:P30">
    <cfRule type="colorScale" priority="109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60:N70 N33:N44 P33:P70 O33:O36 O67:O70">
    <cfRule type="colorScale" priority="108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P44:P58 N44">
    <cfRule type="colorScale" priority="107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67:N69">
    <cfRule type="colorScale" priority="106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P44:P58">
    <cfRule type="colorScale" priority="105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P60:P65">
    <cfRule type="colorScale" priority="104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P24">
    <cfRule type="colorScale" priority="103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P45:P58">
    <cfRule type="colorScale" priority="102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P59">
    <cfRule type="colorScale" priority="101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P79:P93 N79">
    <cfRule type="colorScale" priority="91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102:N104">
    <cfRule type="colorScale" priority="90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P79:P93">
    <cfRule type="colorScale" priority="89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P95:P100">
    <cfRule type="colorScale" priority="88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P80:P93">
    <cfRule type="colorScale" priority="87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P94">
    <cfRule type="colorScale" priority="86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P80">
    <cfRule type="colorScale" priority="85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P87">
    <cfRule type="colorScale" priority="84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95:N100 N73:N79 P73:P100">
    <cfRule type="colorScale" priority="83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33:N34">
    <cfRule type="colorScale" priority="62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33:P35">
    <cfRule type="colorScale" priority="61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68:N69">
    <cfRule type="colorScale" priority="58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68:P70">
    <cfRule type="colorScale" priority="57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103:N104">
    <cfRule type="colorScale" priority="50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103:P105">
    <cfRule type="colorScale" priority="49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138">
    <cfRule type="colorScale" priority="26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139:P141">
    <cfRule type="colorScale" priority="25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139:N140">
    <cfRule type="colorScale" priority="24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139:P141">
    <cfRule type="colorScale" priority="23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139:N140">
    <cfRule type="colorScale" priority="22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139:P141">
    <cfRule type="colorScale" priority="21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138">
    <cfRule type="colorScale" priority="20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139:P141">
    <cfRule type="colorScale" priority="19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108:P141">
    <cfRule type="colorScale" priority="18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139:N140">
    <cfRule type="colorScale" priority="17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139:P141">
    <cfRule type="colorScale" priority="16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O102:O106 P72:P106 N72:N106 N107:P141">
    <cfRule type="colorScale" priority="279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137">
    <cfRule type="colorScale" priority="15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138:P140">
    <cfRule type="colorScale" priority="14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107:P140">
    <cfRule type="colorScale" priority="13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138:N139">
    <cfRule type="colorScale" priority="12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138:P140">
    <cfRule type="colorScale" priority="11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33:N34">
    <cfRule type="colorScale" priority="10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33:P35">
    <cfRule type="colorScale" priority="9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68:N69">
    <cfRule type="colorScale" priority="8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68:P70">
    <cfRule type="colorScale" priority="7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103:N104">
    <cfRule type="colorScale" priority="6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103:P105">
    <cfRule type="colorScale" priority="5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137">
    <cfRule type="colorScale" priority="4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138:P140">
    <cfRule type="colorScale" priority="3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107:P140">
    <cfRule type="colorScale" priority="2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N138:N139">
    <cfRule type="colorScale" priority="1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ignoredErrors>
    <ignoredError sqref="F17:L24 F52:L59 C10:E31 C45:E66 C106:E106 C68:E71 C67:D67 C33:E43 C32:D32" formula="1"/>
  </ignoredErrors>
  <legacyDrawing r:id="rId2"/>
  <controls>
    <control shapeId="11265" r:id="rId3" name="cmdHide"/>
    <control shapeId="11266" r:id="rId4" name="cmdHide2"/>
  </control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"/>
  <dimension ref="A1:AE640"/>
  <sheetViews>
    <sheetView zoomScale="110" zoomScaleNormal="110" workbookViewId="0">
      <pane xSplit="2" ySplit="3" topLeftCell="I548" activePane="bottomRight" state="frozen"/>
      <selection pane="topRight" activeCell="C1" sqref="C1"/>
      <selection pane="bottomLeft" activeCell="A4" sqref="A4"/>
      <selection pane="bottomRight" activeCell="A378" sqref="A378"/>
    </sheetView>
  </sheetViews>
  <sheetFormatPr defaultRowHeight="15"/>
  <cols>
    <col min="1" max="1" width="34.140625" style="3" customWidth="1"/>
    <col min="2" max="2" width="16" style="9" bestFit="1" customWidth="1"/>
    <col min="3" max="3" width="4.5703125" style="9" customWidth="1"/>
    <col min="4" max="4" width="22" style="9" bestFit="1" customWidth="1"/>
    <col min="5" max="5" width="22.7109375" style="9" bestFit="1" customWidth="1"/>
    <col min="6" max="6" width="21" style="1" bestFit="1" customWidth="1"/>
    <col min="7" max="7" width="21.5703125" style="9" bestFit="1" customWidth="1"/>
    <col min="8" max="8" width="20" style="9" bestFit="1" customWidth="1"/>
    <col min="9" max="10" width="18" style="9" bestFit="1" customWidth="1"/>
    <col min="11" max="11" width="19.42578125" style="9" bestFit="1" customWidth="1"/>
    <col min="12" max="12" width="16" style="9" bestFit="1" customWidth="1"/>
    <col min="13" max="13" width="8.140625" style="9" bestFit="1" customWidth="1"/>
    <col min="14" max="14" width="9.140625" style="1"/>
    <col min="15" max="17" width="9.140625" style="22"/>
    <col min="18" max="18" width="10.85546875" style="1" customWidth="1"/>
    <col min="19" max="19" width="4.85546875" style="133" customWidth="1"/>
    <col min="20" max="20" width="14.140625" style="9" customWidth="1"/>
    <col min="21" max="21" width="11.28515625" style="1" bestFit="1" customWidth="1"/>
    <col min="22" max="22" width="4.5703125" style="109" bestFit="1" customWidth="1"/>
    <col min="23" max="23" width="13.28515625" style="9" bestFit="1" customWidth="1"/>
    <col min="24" max="24" width="9.140625" style="1"/>
    <col min="25" max="25" width="10.42578125" style="9" bestFit="1" customWidth="1"/>
    <col min="26" max="26" width="9.140625" style="22" bestFit="1" customWidth="1"/>
    <col min="27" max="28" width="9.140625" style="22"/>
    <col min="29" max="29" width="9.140625" style="78"/>
    <col min="30" max="30" width="9.140625" style="22"/>
    <col min="31" max="16384" width="9.140625" style="9"/>
  </cols>
  <sheetData>
    <row r="1" spans="1:31">
      <c r="A1" s="7" t="s">
        <v>0</v>
      </c>
    </row>
    <row r="3" spans="1:31">
      <c r="A3" s="3" t="s">
        <v>1</v>
      </c>
      <c r="B3" s="9" t="s">
        <v>8</v>
      </c>
      <c r="D3" s="9" t="s">
        <v>2</v>
      </c>
      <c r="E3" s="9" t="s">
        <v>3</v>
      </c>
      <c r="F3" s="1" t="s">
        <v>4</v>
      </c>
      <c r="G3" s="9" t="s">
        <v>5</v>
      </c>
      <c r="H3" s="9" t="s">
        <v>6</v>
      </c>
      <c r="I3" s="9" t="s">
        <v>7</v>
      </c>
      <c r="J3" s="9" t="s">
        <v>219</v>
      </c>
      <c r="K3" s="9" t="s">
        <v>220</v>
      </c>
      <c r="L3" s="9" t="s">
        <v>298</v>
      </c>
      <c r="M3" s="9" t="s">
        <v>418</v>
      </c>
      <c r="N3" s="1" t="s">
        <v>560</v>
      </c>
      <c r="O3" s="11" t="s">
        <v>561</v>
      </c>
      <c r="P3" s="11" t="s">
        <v>562</v>
      </c>
      <c r="Q3" s="11" t="s">
        <v>563</v>
      </c>
      <c r="R3" s="12" t="s">
        <v>564</v>
      </c>
      <c r="S3" s="129" t="s">
        <v>988</v>
      </c>
      <c r="T3" t="s">
        <v>1087</v>
      </c>
      <c r="V3" s="133" t="s">
        <v>988</v>
      </c>
      <c r="W3" t="s">
        <v>1087</v>
      </c>
      <c r="X3" s="1" t="s">
        <v>564</v>
      </c>
      <c r="Y3" s="2" t="s">
        <v>587</v>
      </c>
      <c r="Z3" s="22" t="s">
        <v>592</v>
      </c>
      <c r="AA3" s="42" t="s">
        <v>590</v>
      </c>
      <c r="AB3" s="42" t="s">
        <v>591</v>
      </c>
      <c r="AC3" s="148" t="s">
        <v>619</v>
      </c>
      <c r="AD3" s="31" t="s">
        <v>595</v>
      </c>
      <c r="AE3" s="11"/>
    </row>
    <row r="4" spans="1:31">
      <c r="A4" s="3" t="s">
        <v>9</v>
      </c>
      <c r="B4" s="9" t="s">
        <v>10</v>
      </c>
      <c r="D4" s="9" t="s">
        <v>11</v>
      </c>
      <c r="Z4" s="22">
        <v>0</v>
      </c>
      <c r="AB4" s="22">
        <v>2</v>
      </c>
      <c r="AC4" s="78">
        <f t="shared" ref="AC4:AC68" si="0">AB4-Z4</f>
        <v>2</v>
      </c>
    </row>
    <row r="5" spans="1:31">
      <c r="A5" s="3" t="s">
        <v>12</v>
      </c>
      <c r="B5" s="9" t="s">
        <v>10</v>
      </c>
      <c r="D5" s="9" t="s">
        <v>11</v>
      </c>
      <c r="Z5" s="22">
        <v>0</v>
      </c>
      <c r="AB5" s="22">
        <v>2</v>
      </c>
      <c r="AC5" s="78">
        <f t="shared" si="0"/>
        <v>2</v>
      </c>
    </row>
    <row r="6" spans="1:31">
      <c r="A6" s="3" t="s">
        <v>13</v>
      </c>
      <c r="B6" s="9" t="s">
        <v>10</v>
      </c>
      <c r="D6" s="9" t="s">
        <v>11</v>
      </c>
      <c r="Z6" s="22">
        <v>0</v>
      </c>
      <c r="AB6" s="22">
        <v>2</v>
      </c>
      <c r="AC6" s="78">
        <f t="shared" si="0"/>
        <v>2</v>
      </c>
    </row>
    <row r="7" spans="1:31">
      <c r="A7" s="3" t="s">
        <v>14</v>
      </c>
      <c r="B7" s="9" t="s">
        <v>10</v>
      </c>
      <c r="D7" s="9" t="s">
        <v>11</v>
      </c>
      <c r="Z7" s="22">
        <v>0</v>
      </c>
      <c r="AB7" s="22">
        <v>2</v>
      </c>
      <c r="AC7" s="78">
        <f t="shared" si="0"/>
        <v>2</v>
      </c>
    </row>
    <row r="8" spans="1:31">
      <c r="A8" s="3" t="s">
        <v>15</v>
      </c>
      <c r="B8" s="9" t="s">
        <v>10</v>
      </c>
      <c r="D8" s="9" t="s">
        <v>11</v>
      </c>
      <c r="Z8" s="22">
        <v>0</v>
      </c>
      <c r="AB8" s="22">
        <v>2</v>
      </c>
      <c r="AC8" s="78">
        <f t="shared" si="0"/>
        <v>2</v>
      </c>
    </row>
    <row r="9" spans="1:31">
      <c r="A9" s="3" t="s">
        <v>35</v>
      </c>
      <c r="B9" s="9" t="s">
        <v>10</v>
      </c>
      <c r="D9" s="9" t="s">
        <v>11</v>
      </c>
      <c r="Z9" s="22">
        <v>0</v>
      </c>
      <c r="AB9" s="22">
        <v>2</v>
      </c>
      <c r="AC9" s="78">
        <f t="shared" si="0"/>
        <v>2</v>
      </c>
    </row>
    <row r="10" spans="1:31">
      <c r="A10" s="3" t="s">
        <v>16</v>
      </c>
      <c r="B10" s="9" t="s">
        <v>10</v>
      </c>
      <c r="D10" s="9" t="s">
        <v>11</v>
      </c>
      <c r="Z10" s="22">
        <v>0</v>
      </c>
      <c r="AB10" s="22">
        <v>2</v>
      </c>
      <c r="AC10" s="78">
        <f t="shared" si="0"/>
        <v>2</v>
      </c>
    </row>
    <row r="11" spans="1:31">
      <c r="A11" s="3" t="s">
        <v>17</v>
      </c>
      <c r="B11" s="9" t="s">
        <v>10</v>
      </c>
      <c r="D11" s="9" t="s">
        <v>11</v>
      </c>
      <c r="Z11" s="22">
        <v>0</v>
      </c>
      <c r="AB11" s="22">
        <v>2</v>
      </c>
      <c r="AC11" s="78">
        <f t="shared" si="0"/>
        <v>2</v>
      </c>
    </row>
    <row r="12" spans="1:31">
      <c r="A12" s="3" t="s">
        <v>18</v>
      </c>
      <c r="B12" s="9" t="s">
        <v>10</v>
      </c>
      <c r="D12" s="9" t="s">
        <v>11</v>
      </c>
      <c r="Z12" s="22">
        <v>0</v>
      </c>
      <c r="AB12" s="22">
        <v>2</v>
      </c>
      <c r="AC12" s="78">
        <f t="shared" si="0"/>
        <v>2</v>
      </c>
    </row>
    <row r="13" spans="1:31" s="20" customFormat="1">
      <c r="A13" s="32" t="s">
        <v>19</v>
      </c>
      <c r="B13" s="20" t="s">
        <v>10</v>
      </c>
      <c r="D13" s="20" t="s">
        <v>11</v>
      </c>
      <c r="F13" s="26"/>
      <c r="N13" s="26"/>
      <c r="O13" s="33"/>
      <c r="P13" s="33"/>
      <c r="Q13" s="33"/>
      <c r="R13" s="26"/>
      <c r="S13" s="134"/>
      <c r="U13" s="26"/>
      <c r="V13" s="134"/>
      <c r="X13" s="26"/>
      <c r="Z13" s="33">
        <v>0</v>
      </c>
      <c r="AA13" s="33"/>
      <c r="AB13" s="33">
        <v>2</v>
      </c>
      <c r="AC13" s="112">
        <f t="shared" si="0"/>
        <v>2</v>
      </c>
      <c r="AD13" s="33"/>
    </row>
    <row r="14" spans="1:31">
      <c r="A14" s="3" t="s">
        <v>20</v>
      </c>
      <c r="B14" s="9" t="s">
        <v>21</v>
      </c>
      <c r="D14" s="9" t="s">
        <v>24</v>
      </c>
      <c r="E14" s="9" t="s">
        <v>23</v>
      </c>
      <c r="F14" s="1" t="s">
        <v>25</v>
      </c>
      <c r="O14" s="22">
        <v>0</v>
      </c>
      <c r="P14" s="22">
        <v>0</v>
      </c>
      <c r="Q14" s="22">
        <v>0</v>
      </c>
      <c r="R14" s="1" t="s">
        <v>565</v>
      </c>
      <c r="Y14" s="9" t="str">
        <f t="shared" ref="Y14:Y45" si="1">IF(G14="","Yes","No")</f>
        <v>Yes</v>
      </c>
      <c r="Z14" s="22">
        <v>10</v>
      </c>
      <c r="AA14" s="22">
        <v>10</v>
      </c>
      <c r="AB14" s="22">
        <v>2</v>
      </c>
      <c r="AC14" s="78">
        <f t="shared" si="0"/>
        <v>-8</v>
      </c>
    </row>
    <row r="15" spans="1:31">
      <c r="A15" s="3" t="s">
        <v>26</v>
      </c>
      <c r="B15" s="9" t="s">
        <v>21</v>
      </c>
      <c r="D15" s="9" t="s">
        <v>27</v>
      </c>
      <c r="E15" s="9" t="s">
        <v>22</v>
      </c>
      <c r="G15" s="9" t="s">
        <v>28</v>
      </c>
      <c r="H15" s="24" t="s">
        <v>39</v>
      </c>
      <c r="O15" s="22">
        <v>1</v>
      </c>
      <c r="P15" s="22">
        <v>0</v>
      </c>
      <c r="Q15" s="22">
        <v>0</v>
      </c>
      <c r="R15" s="1" t="s">
        <v>565</v>
      </c>
      <c r="S15" s="133">
        <v>0.01</v>
      </c>
      <c r="T15" s="9" t="s">
        <v>621</v>
      </c>
      <c r="U15" s="1" t="s">
        <v>566</v>
      </c>
      <c r="Y15" s="9" t="str">
        <f t="shared" si="1"/>
        <v>No</v>
      </c>
      <c r="Z15" s="22">
        <v>60</v>
      </c>
      <c r="AA15" s="22">
        <v>225</v>
      </c>
      <c r="AB15" s="22">
        <v>45</v>
      </c>
      <c r="AC15" s="78">
        <f t="shared" si="0"/>
        <v>-15</v>
      </c>
    </row>
    <row r="16" spans="1:31">
      <c r="A16" s="3" t="s">
        <v>28</v>
      </c>
      <c r="B16" s="9" t="s">
        <v>21</v>
      </c>
      <c r="D16" s="9" t="s">
        <v>29</v>
      </c>
      <c r="E16" s="9" t="s">
        <v>22</v>
      </c>
      <c r="G16" s="24" t="s">
        <v>144</v>
      </c>
      <c r="H16" s="25" t="s">
        <v>240</v>
      </c>
      <c r="I16" s="24" t="s">
        <v>450</v>
      </c>
      <c r="J16" s="24" t="s">
        <v>499</v>
      </c>
      <c r="O16" s="22">
        <v>3</v>
      </c>
      <c r="P16" s="22">
        <v>0</v>
      </c>
      <c r="Q16" s="22">
        <v>0</v>
      </c>
      <c r="R16" s="1" t="s">
        <v>565</v>
      </c>
      <c r="Y16" s="9" t="str">
        <f t="shared" si="1"/>
        <v>No</v>
      </c>
      <c r="Z16" s="22">
        <v>120</v>
      </c>
      <c r="AA16" s="22">
        <v>585</v>
      </c>
      <c r="AB16" s="22">
        <v>117</v>
      </c>
      <c r="AC16" s="78">
        <f t="shared" si="0"/>
        <v>-3</v>
      </c>
    </row>
    <row r="17" spans="1:30">
      <c r="A17" s="3" t="s">
        <v>30</v>
      </c>
      <c r="B17" s="9" t="s">
        <v>21</v>
      </c>
      <c r="D17" s="9" t="s">
        <v>31</v>
      </c>
      <c r="E17" s="9" t="s">
        <v>22</v>
      </c>
      <c r="F17" s="1" t="s">
        <v>32</v>
      </c>
      <c r="G17" s="24" t="s">
        <v>36</v>
      </c>
      <c r="H17" s="9" t="s">
        <v>287</v>
      </c>
      <c r="O17" s="22">
        <v>1</v>
      </c>
      <c r="P17" s="22">
        <v>0</v>
      </c>
      <c r="Q17" s="22">
        <v>0</v>
      </c>
      <c r="R17" s="1" t="s">
        <v>565</v>
      </c>
      <c r="S17" s="133">
        <v>0.01</v>
      </c>
      <c r="T17" s="9" t="s">
        <v>622</v>
      </c>
      <c r="U17" s="1" t="s">
        <v>566</v>
      </c>
      <c r="Y17" s="9" t="str">
        <f t="shared" si="1"/>
        <v>No</v>
      </c>
      <c r="Z17" s="22">
        <v>60</v>
      </c>
      <c r="AA17" s="22">
        <v>225</v>
      </c>
      <c r="AB17" s="22">
        <v>45</v>
      </c>
      <c r="AC17" s="78">
        <f t="shared" si="0"/>
        <v>-15</v>
      </c>
    </row>
    <row r="18" spans="1:30">
      <c r="A18" s="3" t="s">
        <v>33</v>
      </c>
      <c r="B18" s="9" t="s">
        <v>21</v>
      </c>
      <c r="D18" s="9" t="s">
        <v>34</v>
      </c>
      <c r="G18" s="24" t="s">
        <v>179</v>
      </c>
      <c r="H18" s="24" t="s">
        <v>383</v>
      </c>
      <c r="I18" s="25" t="s">
        <v>388</v>
      </c>
      <c r="J18" s="24" t="s">
        <v>449</v>
      </c>
      <c r="K18" s="24" t="s">
        <v>468</v>
      </c>
      <c r="L18" s="24" t="s">
        <v>489</v>
      </c>
      <c r="O18" s="22">
        <v>1</v>
      </c>
      <c r="P18" s="22">
        <v>0</v>
      </c>
      <c r="Q18" s="22">
        <v>0</v>
      </c>
      <c r="R18" s="1" t="s">
        <v>567</v>
      </c>
      <c r="Y18" s="9" t="str">
        <f t="shared" si="1"/>
        <v>No</v>
      </c>
      <c r="Z18" s="22">
        <v>60</v>
      </c>
      <c r="AA18" s="22">
        <v>100</v>
      </c>
      <c r="AB18" s="22">
        <v>20</v>
      </c>
      <c r="AC18" s="78">
        <f t="shared" si="0"/>
        <v>-40</v>
      </c>
    </row>
    <row r="19" spans="1:30">
      <c r="A19" s="4" t="s">
        <v>36</v>
      </c>
      <c r="B19" s="9" t="s">
        <v>21</v>
      </c>
      <c r="D19" s="9" t="s">
        <v>37</v>
      </c>
      <c r="E19" s="9" t="s">
        <v>38</v>
      </c>
      <c r="F19" s="1" t="s">
        <v>31</v>
      </c>
      <c r="G19" s="16" t="s">
        <v>127</v>
      </c>
      <c r="H19" s="17" t="s">
        <v>240</v>
      </c>
      <c r="I19" s="17" t="s">
        <v>266</v>
      </c>
      <c r="O19" s="22">
        <v>3</v>
      </c>
      <c r="P19" s="22">
        <v>0</v>
      </c>
      <c r="Q19" s="22">
        <v>0</v>
      </c>
      <c r="R19" s="1" t="s">
        <v>565</v>
      </c>
      <c r="S19" s="133">
        <v>0.03</v>
      </c>
      <c r="T19" s="9" t="s">
        <v>622</v>
      </c>
      <c r="U19" s="1" t="s">
        <v>566</v>
      </c>
      <c r="Y19" s="9" t="str">
        <f t="shared" si="1"/>
        <v>No</v>
      </c>
      <c r="Z19" s="22">
        <v>320</v>
      </c>
      <c r="AA19" s="22">
        <v>940</v>
      </c>
      <c r="AB19" s="22">
        <v>188</v>
      </c>
      <c r="AC19" s="78">
        <f t="shared" si="0"/>
        <v>-132</v>
      </c>
    </row>
    <row r="20" spans="1:30">
      <c r="A20" s="4" t="s">
        <v>39</v>
      </c>
      <c r="B20" s="9" t="s">
        <v>21</v>
      </c>
      <c r="D20" s="9" t="s">
        <v>40</v>
      </c>
      <c r="E20" s="9" t="s">
        <v>41</v>
      </c>
      <c r="F20" s="1" t="s">
        <v>27</v>
      </c>
      <c r="G20" s="25" t="s">
        <v>42</v>
      </c>
      <c r="H20" s="17" t="s">
        <v>240</v>
      </c>
      <c r="O20" s="22">
        <v>3</v>
      </c>
      <c r="P20" s="22">
        <v>0</v>
      </c>
      <c r="Q20" s="22">
        <v>0</v>
      </c>
      <c r="R20" s="1" t="s">
        <v>565</v>
      </c>
      <c r="S20" s="133">
        <v>0.03</v>
      </c>
      <c r="T20" s="2" t="s">
        <v>621</v>
      </c>
      <c r="U20" s="1" t="s">
        <v>566</v>
      </c>
      <c r="Y20" s="9" t="str">
        <f t="shared" si="1"/>
        <v>No</v>
      </c>
      <c r="Z20" s="22">
        <v>320</v>
      </c>
      <c r="AA20" s="22">
        <v>940</v>
      </c>
      <c r="AB20" s="22">
        <v>188</v>
      </c>
      <c r="AC20" s="78">
        <f t="shared" si="0"/>
        <v>-132</v>
      </c>
    </row>
    <row r="21" spans="1:30">
      <c r="A21" s="5" t="s">
        <v>42</v>
      </c>
      <c r="B21" s="9" t="s">
        <v>21</v>
      </c>
      <c r="D21" s="9" t="s">
        <v>43</v>
      </c>
      <c r="E21" s="9" t="s">
        <v>44</v>
      </c>
      <c r="F21" s="1" t="s">
        <v>45</v>
      </c>
      <c r="G21" s="19" t="s">
        <v>46</v>
      </c>
      <c r="O21" s="22">
        <v>18</v>
      </c>
      <c r="P21" s="22">
        <v>0</v>
      </c>
      <c r="Q21" s="22">
        <v>0</v>
      </c>
      <c r="R21" s="1" t="s">
        <v>565</v>
      </c>
      <c r="Y21" s="9" t="str">
        <f t="shared" si="1"/>
        <v>No</v>
      </c>
      <c r="Z21" s="22">
        <v>1440</v>
      </c>
      <c r="AA21" s="22">
        <v>11700</v>
      </c>
      <c r="AB21" s="22">
        <v>2340</v>
      </c>
      <c r="AC21" s="78">
        <f t="shared" si="0"/>
        <v>900</v>
      </c>
    </row>
    <row r="22" spans="1:30" s="20" customFormat="1">
      <c r="A22" s="28" t="s">
        <v>1117</v>
      </c>
      <c r="B22" s="20" t="s">
        <v>21</v>
      </c>
      <c r="D22" s="20" t="s">
        <v>47</v>
      </c>
      <c r="E22" s="20" t="s">
        <v>48</v>
      </c>
      <c r="F22" s="26" t="s">
        <v>49</v>
      </c>
      <c r="G22" s="34" t="s">
        <v>505</v>
      </c>
      <c r="N22" s="26"/>
      <c r="O22" s="33">
        <v>30</v>
      </c>
      <c r="P22" s="33">
        <v>0</v>
      </c>
      <c r="Q22" s="33">
        <v>0</v>
      </c>
      <c r="R22" s="26" t="s">
        <v>565</v>
      </c>
      <c r="S22" s="134"/>
      <c r="U22" s="26"/>
      <c r="V22" s="134"/>
      <c r="X22" s="26"/>
      <c r="Y22" s="20" t="str">
        <f t="shared" si="1"/>
        <v>No</v>
      </c>
      <c r="Z22" s="33">
        <v>6820</v>
      </c>
      <c r="AA22" s="33">
        <v>18000</v>
      </c>
      <c r="AB22" s="33">
        <v>3600</v>
      </c>
      <c r="AC22" s="112">
        <f t="shared" si="0"/>
        <v>-3220</v>
      </c>
      <c r="AD22" s="33"/>
    </row>
    <row r="23" spans="1:30">
      <c r="A23" s="3" t="s">
        <v>50</v>
      </c>
      <c r="B23" s="9" t="s">
        <v>51</v>
      </c>
      <c r="D23" s="9" t="s">
        <v>52</v>
      </c>
      <c r="E23" s="9" t="s">
        <v>53</v>
      </c>
      <c r="G23" s="24" t="s">
        <v>58</v>
      </c>
      <c r="H23" s="9" t="s">
        <v>399</v>
      </c>
      <c r="I23" s="9" t="s">
        <v>491</v>
      </c>
      <c r="O23" s="22">
        <v>0</v>
      </c>
      <c r="P23" s="22">
        <v>0</v>
      </c>
      <c r="Q23" s="22">
        <v>3</v>
      </c>
      <c r="R23" s="1" t="s">
        <v>567</v>
      </c>
      <c r="Y23" s="9" t="str">
        <f t="shared" si="1"/>
        <v>No</v>
      </c>
      <c r="Z23" s="22">
        <v>60</v>
      </c>
      <c r="AA23" s="22">
        <v>450</v>
      </c>
      <c r="AB23" s="22">
        <v>90</v>
      </c>
      <c r="AC23" s="78">
        <f t="shared" si="0"/>
        <v>30</v>
      </c>
    </row>
    <row r="24" spans="1:30">
      <c r="A24" s="3" t="s">
        <v>54</v>
      </c>
      <c r="B24" s="9" t="s">
        <v>51</v>
      </c>
      <c r="D24" s="9" t="s">
        <v>55</v>
      </c>
      <c r="E24" s="9" t="s">
        <v>56</v>
      </c>
      <c r="G24" s="24" t="s">
        <v>62</v>
      </c>
      <c r="H24" s="24" t="s">
        <v>127</v>
      </c>
      <c r="I24" s="24" t="s">
        <v>144</v>
      </c>
      <c r="O24" s="22">
        <v>0</v>
      </c>
      <c r="P24" s="22">
        <v>0</v>
      </c>
      <c r="Q24" s="22">
        <v>1</v>
      </c>
      <c r="R24" s="12" t="s">
        <v>565</v>
      </c>
      <c r="S24" s="133">
        <v>0.01</v>
      </c>
      <c r="T24" s="9" t="s">
        <v>627</v>
      </c>
      <c r="U24" s="1" t="s">
        <v>566</v>
      </c>
      <c r="Y24" s="9" t="str">
        <f t="shared" si="1"/>
        <v>No</v>
      </c>
      <c r="Z24" s="22">
        <v>60</v>
      </c>
      <c r="AA24" s="22">
        <v>225</v>
      </c>
      <c r="AB24" s="22">
        <v>45</v>
      </c>
      <c r="AC24" s="78">
        <f t="shared" si="0"/>
        <v>-15</v>
      </c>
    </row>
    <row r="25" spans="1:30">
      <c r="A25" s="3" t="s">
        <v>57</v>
      </c>
      <c r="B25" s="9" t="s">
        <v>51</v>
      </c>
      <c r="D25" s="9" t="s">
        <v>52</v>
      </c>
      <c r="E25" s="9" t="s">
        <v>53</v>
      </c>
      <c r="G25" s="24" t="s">
        <v>66</v>
      </c>
      <c r="H25" s="9" t="s">
        <v>103</v>
      </c>
      <c r="O25" s="22">
        <v>0</v>
      </c>
      <c r="P25" s="22">
        <v>0</v>
      </c>
      <c r="Q25" s="22">
        <v>1</v>
      </c>
      <c r="R25" s="12" t="s">
        <v>570</v>
      </c>
      <c r="S25" s="133">
        <v>0.01</v>
      </c>
      <c r="T25" s="9" t="s">
        <v>627</v>
      </c>
      <c r="U25" s="1" t="s">
        <v>571</v>
      </c>
      <c r="Y25" s="9" t="str">
        <f t="shared" si="1"/>
        <v>No</v>
      </c>
      <c r="Z25" s="22">
        <v>60</v>
      </c>
      <c r="AA25" s="22">
        <v>175</v>
      </c>
      <c r="AB25" s="22">
        <v>35</v>
      </c>
      <c r="AC25" s="78">
        <f t="shared" si="0"/>
        <v>-25</v>
      </c>
    </row>
    <row r="26" spans="1:30">
      <c r="A26" s="4" t="s">
        <v>58</v>
      </c>
      <c r="B26" s="9" t="s">
        <v>51</v>
      </c>
      <c r="D26" s="9" t="s">
        <v>59</v>
      </c>
      <c r="E26" s="9" t="s">
        <v>60</v>
      </c>
      <c r="F26" s="1" t="s">
        <v>61</v>
      </c>
      <c r="O26" s="22">
        <v>0</v>
      </c>
      <c r="P26" s="22">
        <v>0</v>
      </c>
      <c r="Q26" s="22">
        <v>3</v>
      </c>
      <c r="R26" s="12" t="s">
        <v>567</v>
      </c>
      <c r="S26" s="133">
        <v>0.03</v>
      </c>
      <c r="T26" s="9" t="s">
        <v>627</v>
      </c>
      <c r="U26" s="1" t="s">
        <v>572</v>
      </c>
      <c r="Y26" s="9" t="str">
        <f t="shared" si="1"/>
        <v>Yes</v>
      </c>
      <c r="Z26" s="22">
        <v>660</v>
      </c>
      <c r="AA26" s="22">
        <v>750</v>
      </c>
      <c r="AB26" s="22">
        <v>150</v>
      </c>
      <c r="AC26" s="78">
        <f t="shared" si="0"/>
        <v>-510</v>
      </c>
    </row>
    <row r="27" spans="1:30">
      <c r="A27" s="4" t="s">
        <v>1115</v>
      </c>
      <c r="B27" s="9" t="s">
        <v>51</v>
      </c>
      <c r="D27" s="9" t="s">
        <v>63</v>
      </c>
      <c r="E27" s="9" t="s">
        <v>64</v>
      </c>
      <c r="F27" s="1" t="s">
        <v>65</v>
      </c>
      <c r="G27" s="17" t="s">
        <v>70</v>
      </c>
      <c r="H27" s="25" t="s">
        <v>295</v>
      </c>
      <c r="I27" s="25" t="s">
        <v>322</v>
      </c>
      <c r="J27" s="25" t="s">
        <v>410</v>
      </c>
      <c r="O27" s="22">
        <v>0</v>
      </c>
      <c r="P27" s="22">
        <v>0</v>
      </c>
      <c r="Q27" s="22">
        <v>3</v>
      </c>
      <c r="R27" s="12" t="s">
        <v>565</v>
      </c>
      <c r="S27" s="133">
        <v>0.03</v>
      </c>
      <c r="T27" s="9" t="s">
        <v>627</v>
      </c>
      <c r="U27" s="1" t="s">
        <v>566</v>
      </c>
      <c r="Y27" s="9" t="str">
        <f t="shared" si="1"/>
        <v>No</v>
      </c>
      <c r="Z27" s="22">
        <v>260</v>
      </c>
      <c r="AA27" s="22">
        <v>940</v>
      </c>
      <c r="AB27" s="22">
        <v>188</v>
      </c>
      <c r="AC27" s="78">
        <f t="shared" si="0"/>
        <v>-72</v>
      </c>
    </row>
    <row r="28" spans="1:30">
      <c r="A28" s="4" t="s">
        <v>66</v>
      </c>
      <c r="B28" s="9" t="s">
        <v>51</v>
      </c>
      <c r="D28" s="9" t="s">
        <v>67</v>
      </c>
      <c r="E28" s="9" t="s">
        <v>68</v>
      </c>
      <c r="F28" s="1" t="s">
        <v>69</v>
      </c>
      <c r="G28" s="17" t="s">
        <v>74</v>
      </c>
      <c r="H28" s="17" t="s">
        <v>244</v>
      </c>
      <c r="I28" s="17" t="s">
        <v>502</v>
      </c>
      <c r="O28" s="22">
        <v>0</v>
      </c>
      <c r="P28" s="22">
        <v>0</v>
      </c>
      <c r="Q28" s="22">
        <v>3</v>
      </c>
      <c r="R28" s="12" t="s">
        <v>570</v>
      </c>
      <c r="S28" s="133">
        <v>0.03</v>
      </c>
      <c r="T28" s="9" t="s">
        <v>627</v>
      </c>
      <c r="U28" s="1" t="s">
        <v>571</v>
      </c>
      <c r="Y28" s="9" t="str">
        <f t="shared" si="1"/>
        <v>No</v>
      </c>
      <c r="Z28" s="22">
        <v>260</v>
      </c>
      <c r="AA28" s="22">
        <v>740</v>
      </c>
      <c r="AB28" s="22">
        <v>148</v>
      </c>
      <c r="AC28" s="78">
        <f t="shared" si="0"/>
        <v>-112</v>
      </c>
    </row>
    <row r="29" spans="1:30">
      <c r="A29" s="5" t="s">
        <v>70</v>
      </c>
      <c r="B29" s="9" t="s">
        <v>51</v>
      </c>
      <c r="D29" s="9" t="s">
        <v>71</v>
      </c>
      <c r="E29" s="9" t="s">
        <v>72</v>
      </c>
      <c r="F29" s="1" t="s">
        <v>73</v>
      </c>
      <c r="O29" s="22">
        <v>0</v>
      </c>
      <c r="P29" s="22">
        <v>0</v>
      </c>
      <c r="Q29" s="22">
        <v>8</v>
      </c>
      <c r="R29" s="12" t="s">
        <v>565</v>
      </c>
      <c r="S29" s="133">
        <v>0.08</v>
      </c>
      <c r="T29" s="9" t="s">
        <v>627</v>
      </c>
      <c r="U29" s="1" t="s">
        <v>566</v>
      </c>
      <c r="Y29" s="9" t="str">
        <f t="shared" si="1"/>
        <v>Yes</v>
      </c>
      <c r="Z29" s="22">
        <v>1320</v>
      </c>
      <c r="AA29" s="22">
        <v>4420</v>
      </c>
      <c r="AB29" s="22">
        <v>884</v>
      </c>
      <c r="AC29" s="78">
        <f t="shared" si="0"/>
        <v>-436</v>
      </c>
    </row>
    <row r="30" spans="1:30" s="20" customFormat="1">
      <c r="A30" s="27" t="s">
        <v>74</v>
      </c>
      <c r="B30" s="20" t="s">
        <v>51</v>
      </c>
      <c r="D30" s="20" t="s">
        <v>60</v>
      </c>
      <c r="E30" s="20" t="s">
        <v>75</v>
      </c>
      <c r="F30" s="26" t="s">
        <v>76</v>
      </c>
      <c r="N30" s="26"/>
      <c r="O30" s="33">
        <v>0</v>
      </c>
      <c r="P30" s="33">
        <v>0</v>
      </c>
      <c r="Q30" s="33">
        <v>8</v>
      </c>
      <c r="R30" s="37" t="s">
        <v>565</v>
      </c>
      <c r="S30" s="134">
        <v>0.08</v>
      </c>
      <c r="T30" s="20" t="s">
        <v>627</v>
      </c>
      <c r="U30" s="26" t="s">
        <v>571</v>
      </c>
      <c r="V30" s="134"/>
      <c r="X30" s="26"/>
      <c r="Y30" s="20" t="str">
        <f t="shared" si="1"/>
        <v>Yes</v>
      </c>
      <c r="Z30" s="33">
        <v>1320</v>
      </c>
      <c r="AA30" s="33">
        <v>4180</v>
      </c>
      <c r="AB30" s="33">
        <v>836</v>
      </c>
      <c r="AC30" s="112">
        <f t="shared" si="0"/>
        <v>-484</v>
      </c>
      <c r="AD30" s="33"/>
    </row>
    <row r="31" spans="1:30">
      <c r="A31" s="3" t="s">
        <v>77</v>
      </c>
      <c r="B31" s="9" t="s">
        <v>78</v>
      </c>
      <c r="D31" s="9" t="s">
        <v>34</v>
      </c>
      <c r="G31" s="9" t="s">
        <v>79</v>
      </c>
      <c r="H31" s="24" t="s">
        <v>313</v>
      </c>
      <c r="I31" s="9" t="s">
        <v>492</v>
      </c>
      <c r="O31" s="22">
        <v>0</v>
      </c>
      <c r="P31" s="22">
        <v>1</v>
      </c>
      <c r="Q31" s="22">
        <v>0</v>
      </c>
      <c r="R31" s="1" t="s">
        <v>567</v>
      </c>
      <c r="Y31" s="9" t="str">
        <f t="shared" si="1"/>
        <v>No</v>
      </c>
      <c r="Z31" s="22">
        <v>60</v>
      </c>
      <c r="AA31" s="22">
        <v>100</v>
      </c>
      <c r="AB31" s="22">
        <v>20</v>
      </c>
      <c r="AC31" s="78">
        <f t="shared" si="0"/>
        <v>-40</v>
      </c>
    </row>
    <row r="32" spans="1:30">
      <c r="A32" s="3" t="s">
        <v>79</v>
      </c>
      <c r="B32" s="9" t="s">
        <v>78</v>
      </c>
      <c r="D32" s="9" t="s">
        <v>80</v>
      </c>
      <c r="E32" s="9" t="s">
        <v>81</v>
      </c>
      <c r="F32" s="1" t="s">
        <v>82</v>
      </c>
      <c r="G32" s="17" t="s">
        <v>423</v>
      </c>
      <c r="H32" s="17" t="s">
        <v>436</v>
      </c>
      <c r="I32" s="17" t="s">
        <v>438</v>
      </c>
      <c r="J32" s="17" t="s">
        <v>439</v>
      </c>
      <c r="O32" s="22">
        <v>0</v>
      </c>
      <c r="P32" s="22">
        <v>1</v>
      </c>
      <c r="Q32" s="22">
        <v>0</v>
      </c>
      <c r="R32" s="12" t="s">
        <v>567</v>
      </c>
      <c r="S32" s="135">
        <v>0.01</v>
      </c>
      <c r="T32" s="2" t="s">
        <v>624</v>
      </c>
      <c r="U32" s="12" t="s">
        <v>572</v>
      </c>
      <c r="Y32" s="9" t="str">
        <f t="shared" si="1"/>
        <v>No</v>
      </c>
      <c r="Z32" s="22">
        <v>240</v>
      </c>
      <c r="AA32" s="22">
        <v>200</v>
      </c>
      <c r="AB32" s="22">
        <v>40</v>
      </c>
      <c r="AC32" s="78">
        <f t="shared" si="0"/>
        <v>-200</v>
      </c>
    </row>
    <row r="33" spans="1:30">
      <c r="A33" s="3" t="s">
        <v>83</v>
      </c>
      <c r="B33" s="9" t="s">
        <v>78</v>
      </c>
      <c r="D33" s="9" t="s">
        <v>84</v>
      </c>
      <c r="E33" s="9" t="s">
        <v>32</v>
      </c>
      <c r="G33" s="24" t="s">
        <v>110</v>
      </c>
      <c r="H33" s="25" t="s">
        <v>272</v>
      </c>
      <c r="I33" s="9" t="s">
        <v>434</v>
      </c>
      <c r="O33" s="22">
        <v>0</v>
      </c>
      <c r="P33" s="22">
        <v>3</v>
      </c>
      <c r="Q33" s="22">
        <v>0</v>
      </c>
      <c r="R33" s="12" t="s">
        <v>570</v>
      </c>
      <c r="Y33" s="9" t="str">
        <f t="shared" si="1"/>
        <v>No</v>
      </c>
      <c r="Z33" s="22">
        <v>60</v>
      </c>
      <c r="AA33" s="22">
        <v>450</v>
      </c>
      <c r="AB33" s="22">
        <v>90</v>
      </c>
      <c r="AC33" s="78">
        <f t="shared" si="0"/>
        <v>30</v>
      </c>
    </row>
    <row r="34" spans="1:30">
      <c r="A34" s="3" t="s">
        <v>85</v>
      </c>
      <c r="B34" s="9" t="s">
        <v>78</v>
      </c>
      <c r="D34" s="9" t="s">
        <v>86</v>
      </c>
      <c r="E34" s="9" t="s">
        <v>53</v>
      </c>
      <c r="F34" s="1" t="s">
        <v>25</v>
      </c>
      <c r="G34" s="2" t="s">
        <v>79</v>
      </c>
      <c r="H34" s="2" t="s">
        <v>126</v>
      </c>
      <c r="I34" s="16" t="s">
        <v>144</v>
      </c>
      <c r="J34" s="16" t="s">
        <v>210</v>
      </c>
      <c r="K34" s="16" t="s">
        <v>214</v>
      </c>
      <c r="L34" s="2" t="s">
        <v>416</v>
      </c>
      <c r="O34" s="22">
        <v>0</v>
      </c>
      <c r="P34" s="22">
        <v>3</v>
      </c>
      <c r="Q34" s="22">
        <v>0</v>
      </c>
      <c r="R34" s="12" t="s">
        <v>565</v>
      </c>
      <c r="Y34" s="9" t="str">
        <f t="shared" si="1"/>
        <v>No</v>
      </c>
      <c r="Z34" s="22">
        <v>60</v>
      </c>
      <c r="AA34" s="22">
        <v>585</v>
      </c>
      <c r="AB34" s="22">
        <v>117</v>
      </c>
      <c r="AC34" s="78">
        <f t="shared" si="0"/>
        <v>57</v>
      </c>
    </row>
    <row r="35" spans="1:30">
      <c r="A35" s="3" t="s">
        <v>87</v>
      </c>
      <c r="B35" s="9" t="s">
        <v>78</v>
      </c>
      <c r="D35" s="9" t="s">
        <v>88</v>
      </c>
      <c r="E35" s="9" t="s">
        <v>89</v>
      </c>
      <c r="F35" s="1" t="s">
        <v>32</v>
      </c>
      <c r="G35" s="2" t="s">
        <v>79</v>
      </c>
      <c r="H35" s="17" t="s">
        <v>92</v>
      </c>
      <c r="I35" s="17" t="s">
        <v>272</v>
      </c>
      <c r="J35" s="2" t="s">
        <v>419</v>
      </c>
      <c r="K35" s="2" t="s">
        <v>435</v>
      </c>
      <c r="O35" s="22">
        <v>0</v>
      </c>
      <c r="P35" s="22">
        <v>3</v>
      </c>
      <c r="Q35" s="22">
        <v>0</v>
      </c>
      <c r="R35" s="12" t="s">
        <v>570</v>
      </c>
      <c r="Y35" s="9" t="str">
        <f t="shared" si="1"/>
        <v>No</v>
      </c>
      <c r="Z35" s="22">
        <v>60</v>
      </c>
      <c r="AA35" s="22">
        <v>450</v>
      </c>
      <c r="AB35" s="22">
        <v>90</v>
      </c>
      <c r="AC35" s="78">
        <f t="shared" si="0"/>
        <v>30</v>
      </c>
    </row>
    <row r="36" spans="1:30">
      <c r="A36" s="3" t="s">
        <v>90</v>
      </c>
      <c r="B36" s="9" t="s">
        <v>78</v>
      </c>
      <c r="D36" s="9" t="s">
        <v>91</v>
      </c>
      <c r="G36" s="16" t="s">
        <v>221</v>
      </c>
      <c r="H36" s="24" t="s">
        <v>224</v>
      </c>
      <c r="I36" s="24" t="s">
        <v>227</v>
      </c>
      <c r="J36" s="25" t="s">
        <v>231</v>
      </c>
      <c r="K36" s="9" t="s">
        <v>287</v>
      </c>
      <c r="L36" s="25" t="s">
        <v>295</v>
      </c>
      <c r="M36" s="9" t="s">
        <v>417</v>
      </c>
      <c r="N36" s="1" t="s">
        <v>433</v>
      </c>
      <c r="O36" s="22">
        <v>0</v>
      </c>
      <c r="P36" s="22">
        <v>3</v>
      </c>
      <c r="Q36" s="22">
        <v>0</v>
      </c>
      <c r="R36" s="12" t="s">
        <v>565</v>
      </c>
      <c r="Y36" s="9" t="str">
        <f t="shared" si="1"/>
        <v>No</v>
      </c>
      <c r="Z36" s="22">
        <v>60</v>
      </c>
      <c r="AA36" s="22">
        <v>585</v>
      </c>
      <c r="AB36" s="22">
        <v>117</v>
      </c>
      <c r="AC36" s="78">
        <f t="shared" si="0"/>
        <v>57</v>
      </c>
    </row>
    <row r="37" spans="1:30">
      <c r="A37" s="5" t="s">
        <v>92</v>
      </c>
      <c r="B37" s="9" t="s">
        <v>78</v>
      </c>
      <c r="D37" s="9" t="s">
        <v>93</v>
      </c>
      <c r="E37" s="9" t="s">
        <v>94</v>
      </c>
      <c r="F37" s="1" t="s">
        <v>95</v>
      </c>
      <c r="O37" s="22">
        <v>0</v>
      </c>
      <c r="P37" s="22">
        <v>18</v>
      </c>
      <c r="Q37" s="22">
        <v>0</v>
      </c>
      <c r="R37" s="12" t="s">
        <v>570</v>
      </c>
      <c r="Y37" s="9" t="str">
        <f t="shared" si="1"/>
        <v>Yes</v>
      </c>
      <c r="Z37" s="22">
        <v>1100</v>
      </c>
      <c r="AA37" s="22">
        <v>9900</v>
      </c>
      <c r="AB37" s="22">
        <v>1980</v>
      </c>
      <c r="AC37" s="78">
        <f t="shared" si="0"/>
        <v>880</v>
      </c>
    </row>
    <row r="38" spans="1:30" s="20" customFormat="1">
      <c r="A38" s="27" t="s">
        <v>96</v>
      </c>
      <c r="B38" s="20" t="s">
        <v>78</v>
      </c>
      <c r="D38" s="20" t="s">
        <v>97</v>
      </c>
      <c r="E38" s="20" t="s">
        <v>98</v>
      </c>
      <c r="F38" s="26" t="s">
        <v>99</v>
      </c>
      <c r="N38" s="26"/>
      <c r="O38" s="33">
        <v>0</v>
      </c>
      <c r="P38" s="33">
        <v>18</v>
      </c>
      <c r="Q38" s="33">
        <v>0</v>
      </c>
      <c r="R38" s="37" t="s">
        <v>570</v>
      </c>
      <c r="S38" s="134"/>
      <c r="U38" s="26"/>
      <c r="V38" s="134"/>
      <c r="X38" s="26"/>
      <c r="Y38" s="20" t="str">
        <f t="shared" si="1"/>
        <v>Yes</v>
      </c>
      <c r="Z38" s="33">
        <v>1560</v>
      </c>
      <c r="AA38" s="33">
        <v>9900</v>
      </c>
      <c r="AB38" s="33">
        <v>1980</v>
      </c>
      <c r="AC38" s="112">
        <f t="shared" si="0"/>
        <v>420</v>
      </c>
      <c r="AD38" s="33"/>
    </row>
    <row r="39" spans="1:30">
      <c r="A39" s="3" t="s">
        <v>100</v>
      </c>
      <c r="B39" s="9" t="s">
        <v>101</v>
      </c>
      <c r="D39" s="9" t="s">
        <v>56</v>
      </c>
      <c r="E39" s="9" t="s">
        <v>102</v>
      </c>
      <c r="F39" s="1" t="s">
        <v>23</v>
      </c>
      <c r="O39" s="22">
        <v>0</v>
      </c>
      <c r="P39" s="22">
        <v>0</v>
      </c>
      <c r="Q39" s="22">
        <v>0</v>
      </c>
      <c r="R39" s="1" t="s">
        <v>574</v>
      </c>
      <c r="Y39" s="9" t="str">
        <f t="shared" si="1"/>
        <v>Yes</v>
      </c>
      <c r="Z39" s="22">
        <v>10</v>
      </c>
      <c r="AA39" s="22">
        <v>0</v>
      </c>
      <c r="AC39" s="78">
        <f t="shared" si="0"/>
        <v>-10</v>
      </c>
    </row>
    <row r="40" spans="1:30">
      <c r="A40" s="3" t="s">
        <v>103</v>
      </c>
      <c r="B40" s="2" t="s">
        <v>101</v>
      </c>
      <c r="D40" s="2" t="s">
        <v>34</v>
      </c>
      <c r="E40" s="2" t="s">
        <v>104</v>
      </c>
      <c r="F40" s="1" t="s">
        <v>67</v>
      </c>
      <c r="G40" s="16" t="s">
        <v>110</v>
      </c>
      <c r="O40" s="22">
        <v>0</v>
      </c>
      <c r="P40" s="22">
        <v>0</v>
      </c>
      <c r="Q40" s="22">
        <v>0</v>
      </c>
      <c r="R40" s="12" t="s">
        <v>567</v>
      </c>
      <c r="S40" s="133">
        <v>0.01</v>
      </c>
      <c r="T40" s="9" t="s">
        <v>1024</v>
      </c>
      <c r="U40" s="1" t="s">
        <v>571</v>
      </c>
      <c r="Y40" s="9" t="str">
        <f t="shared" si="1"/>
        <v>No</v>
      </c>
      <c r="Z40" s="22">
        <v>120</v>
      </c>
      <c r="AA40" s="22">
        <v>400</v>
      </c>
      <c r="AB40" s="22">
        <v>80</v>
      </c>
      <c r="AC40" s="78">
        <f t="shared" si="0"/>
        <v>-40</v>
      </c>
    </row>
    <row r="41" spans="1:30">
      <c r="A41" s="3" t="s">
        <v>105</v>
      </c>
      <c r="B41" s="2" t="s">
        <v>101</v>
      </c>
      <c r="D41" s="2" t="s">
        <v>56</v>
      </c>
      <c r="E41" s="2" t="s">
        <v>106</v>
      </c>
      <c r="F41" s="1" t="s">
        <v>53</v>
      </c>
      <c r="O41" s="22">
        <v>0</v>
      </c>
      <c r="P41" s="22">
        <v>0</v>
      </c>
      <c r="Q41" s="22">
        <v>0</v>
      </c>
      <c r="R41" s="12" t="s">
        <v>575</v>
      </c>
      <c r="Y41" s="9" t="str">
        <f t="shared" si="1"/>
        <v>Yes</v>
      </c>
      <c r="Z41" s="22">
        <v>10</v>
      </c>
      <c r="AA41" s="22">
        <v>0</v>
      </c>
      <c r="AC41" s="78">
        <f t="shared" si="0"/>
        <v>-10</v>
      </c>
    </row>
    <row r="42" spans="1:30">
      <c r="A42" s="3" t="s">
        <v>107</v>
      </c>
      <c r="B42" s="2" t="s">
        <v>101</v>
      </c>
      <c r="D42" s="2" t="s">
        <v>56</v>
      </c>
      <c r="E42" s="2" t="s">
        <v>106</v>
      </c>
      <c r="F42" s="1" t="s">
        <v>108</v>
      </c>
      <c r="O42" s="22">
        <v>0</v>
      </c>
      <c r="P42" s="22">
        <v>0</v>
      </c>
      <c r="Q42" s="22">
        <v>0</v>
      </c>
      <c r="R42" s="12" t="s">
        <v>575</v>
      </c>
      <c r="Y42" s="9" t="str">
        <f t="shared" si="1"/>
        <v>Yes</v>
      </c>
      <c r="Z42" s="22">
        <v>10</v>
      </c>
      <c r="AA42" s="22">
        <v>0</v>
      </c>
      <c r="AC42" s="78">
        <f t="shared" si="0"/>
        <v>-10</v>
      </c>
    </row>
    <row r="43" spans="1:30">
      <c r="A43" s="3" t="s">
        <v>109</v>
      </c>
      <c r="B43" s="2" t="s">
        <v>101</v>
      </c>
      <c r="D43" s="2" t="s">
        <v>56</v>
      </c>
      <c r="E43" s="2" t="s">
        <v>106</v>
      </c>
      <c r="F43" s="1" t="s">
        <v>22</v>
      </c>
      <c r="O43" s="22">
        <v>0</v>
      </c>
      <c r="P43" s="22">
        <v>0</v>
      </c>
      <c r="Q43" s="22">
        <v>0</v>
      </c>
      <c r="R43" s="12" t="s">
        <v>575</v>
      </c>
      <c r="Y43" s="9" t="str">
        <f t="shared" si="1"/>
        <v>Yes</v>
      </c>
      <c r="Z43" s="22">
        <v>10</v>
      </c>
      <c r="AA43" s="22">
        <v>0</v>
      </c>
      <c r="AC43" s="78">
        <f t="shared" si="0"/>
        <v>-10</v>
      </c>
    </row>
    <row r="44" spans="1:30">
      <c r="A44" s="4" t="s">
        <v>110</v>
      </c>
      <c r="B44" s="2" t="s">
        <v>101</v>
      </c>
      <c r="D44" s="2" t="s">
        <v>111</v>
      </c>
      <c r="E44" s="2" t="s">
        <v>112</v>
      </c>
      <c r="F44" s="1" t="s">
        <v>113</v>
      </c>
      <c r="G44" s="17" t="s">
        <v>161</v>
      </c>
      <c r="O44" s="22">
        <v>1</v>
      </c>
      <c r="P44" s="22">
        <v>1</v>
      </c>
      <c r="Q44" s="22">
        <v>1</v>
      </c>
      <c r="R44" s="12" t="s">
        <v>567</v>
      </c>
      <c r="S44" s="133">
        <v>0.02</v>
      </c>
      <c r="T44" s="9" t="s">
        <v>1024</v>
      </c>
      <c r="U44" s="1" t="s">
        <v>571</v>
      </c>
      <c r="Y44" s="9" t="str">
        <f t="shared" si="1"/>
        <v>No</v>
      </c>
      <c r="Z44" s="22">
        <v>440</v>
      </c>
      <c r="AA44" s="22">
        <v>3050</v>
      </c>
      <c r="AB44" s="22">
        <v>610</v>
      </c>
      <c r="AC44" s="78">
        <f t="shared" si="0"/>
        <v>170</v>
      </c>
    </row>
    <row r="45" spans="1:30" s="20" customFormat="1">
      <c r="A45" s="27" t="s">
        <v>114</v>
      </c>
      <c r="B45" s="35" t="s">
        <v>101</v>
      </c>
      <c r="D45" s="35" t="s">
        <v>119</v>
      </c>
      <c r="E45" s="35" t="s">
        <v>115</v>
      </c>
      <c r="F45" s="26" t="s">
        <v>116</v>
      </c>
      <c r="G45" s="34" t="s">
        <v>146</v>
      </c>
      <c r="N45" s="26"/>
      <c r="O45" s="33">
        <v>0</v>
      </c>
      <c r="P45" s="33">
        <v>8</v>
      </c>
      <c r="Q45" s="33">
        <v>0</v>
      </c>
      <c r="R45" s="37" t="s">
        <v>565</v>
      </c>
      <c r="S45" s="134">
        <v>0.08</v>
      </c>
      <c r="T45" s="20" t="s">
        <v>628</v>
      </c>
      <c r="U45" s="26" t="s">
        <v>566</v>
      </c>
      <c r="V45" s="134"/>
      <c r="X45" s="26"/>
      <c r="Y45" s="20" t="str">
        <f t="shared" si="1"/>
        <v>No</v>
      </c>
      <c r="Z45" s="33">
        <v>2400</v>
      </c>
      <c r="AA45" s="33">
        <v>4940</v>
      </c>
      <c r="AB45" s="33">
        <v>988</v>
      </c>
      <c r="AC45" s="112">
        <f t="shared" si="0"/>
        <v>-1412</v>
      </c>
      <c r="AD45" s="33"/>
    </row>
    <row r="46" spans="1:30">
      <c r="A46" s="3" t="s">
        <v>117</v>
      </c>
      <c r="B46" s="9" t="s">
        <v>118</v>
      </c>
      <c r="D46" s="9" t="s">
        <v>120</v>
      </c>
      <c r="E46" s="9" t="s">
        <v>23</v>
      </c>
      <c r="F46" s="1" t="s">
        <v>121</v>
      </c>
      <c r="G46" s="9" t="s">
        <v>527</v>
      </c>
      <c r="O46" s="22">
        <v>0</v>
      </c>
      <c r="P46" s="22">
        <v>0</v>
      </c>
      <c r="Q46" s="22">
        <v>0</v>
      </c>
      <c r="R46" s="1" t="s">
        <v>576</v>
      </c>
      <c r="Y46" s="9" t="str">
        <f t="shared" ref="Y46:Y78" si="2">IF(G46="","Yes","No")</f>
        <v>No</v>
      </c>
      <c r="Z46" s="22">
        <v>10</v>
      </c>
      <c r="AA46" s="22">
        <v>0</v>
      </c>
      <c r="AC46" s="78">
        <f t="shared" si="0"/>
        <v>-10</v>
      </c>
    </row>
    <row r="47" spans="1:30">
      <c r="A47" s="3" t="s">
        <v>122</v>
      </c>
      <c r="B47" s="9" t="s">
        <v>118</v>
      </c>
      <c r="D47" s="2" t="s">
        <v>123</v>
      </c>
      <c r="E47" s="2" t="s">
        <v>124</v>
      </c>
      <c r="F47" s="1" t="s">
        <v>89</v>
      </c>
      <c r="O47" s="22">
        <v>0</v>
      </c>
      <c r="P47" s="22">
        <v>0</v>
      </c>
      <c r="Q47" s="22">
        <v>0</v>
      </c>
      <c r="R47" s="12" t="s">
        <v>575</v>
      </c>
      <c r="Y47" s="9" t="str">
        <f t="shared" si="2"/>
        <v>Yes</v>
      </c>
      <c r="Z47" s="22">
        <v>5</v>
      </c>
      <c r="AA47" s="22">
        <v>0</v>
      </c>
      <c r="AC47" s="78">
        <f t="shared" si="0"/>
        <v>-5</v>
      </c>
    </row>
    <row r="48" spans="1:30">
      <c r="A48" s="3" t="s">
        <v>125</v>
      </c>
      <c r="B48" s="9" t="s">
        <v>118</v>
      </c>
      <c r="D48" s="2" t="s">
        <v>56</v>
      </c>
      <c r="E48" s="2" t="s">
        <v>102</v>
      </c>
      <c r="F48" s="1" t="s">
        <v>53</v>
      </c>
      <c r="O48" s="22">
        <v>0</v>
      </c>
      <c r="P48" s="22">
        <v>0</v>
      </c>
      <c r="Q48" s="22">
        <v>0</v>
      </c>
      <c r="R48" s="12" t="s">
        <v>575</v>
      </c>
      <c r="Y48" s="9" t="str">
        <f t="shared" si="2"/>
        <v>Yes</v>
      </c>
      <c r="Z48" s="22">
        <v>10</v>
      </c>
      <c r="AA48" s="22">
        <v>75</v>
      </c>
      <c r="AB48" s="22">
        <v>15</v>
      </c>
      <c r="AC48" s="78">
        <f t="shared" si="0"/>
        <v>5</v>
      </c>
    </row>
    <row r="49" spans="1:30">
      <c r="A49" s="3" t="s">
        <v>126</v>
      </c>
      <c r="B49" s="9" t="s">
        <v>118</v>
      </c>
      <c r="D49" s="2" t="s">
        <v>34</v>
      </c>
      <c r="E49" s="2" t="s">
        <v>104</v>
      </c>
      <c r="F49" s="1" t="s">
        <v>81</v>
      </c>
      <c r="G49" s="16" t="s">
        <v>127</v>
      </c>
      <c r="O49" s="22">
        <v>0</v>
      </c>
      <c r="P49" s="22">
        <v>0</v>
      </c>
      <c r="Q49" s="22">
        <v>0</v>
      </c>
      <c r="R49" s="12" t="s">
        <v>567</v>
      </c>
      <c r="S49" s="133">
        <v>0.01</v>
      </c>
      <c r="T49" s="9" t="s">
        <v>1024</v>
      </c>
      <c r="U49" s="1" t="s">
        <v>566</v>
      </c>
      <c r="Y49" s="9" t="str">
        <f t="shared" si="2"/>
        <v>No</v>
      </c>
      <c r="Z49" s="22">
        <v>120</v>
      </c>
      <c r="AA49" s="22">
        <v>1375</v>
      </c>
      <c r="AB49" s="22">
        <v>275</v>
      </c>
      <c r="AC49" s="78">
        <f t="shared" si="0"/>
        <v>155</v>
      </c>
    </row>
    <row r="50" spans="1:30">
      <c r="A50" s="4" t="s">
        <v>127</v>
      </c>
      <c r="B50" s="9" t="s">
        <v>118</v>
      </c>
      <c r="D50" s="2" t="s">
        <v>128</v>
      </c>
      <c r="E50" s="2" t="s">
        <v>63</v>
      </c>
      <c r="F50" s="1" t="s">
        <v>129</v>
      </c>
      <c r="G50" s="17" t="s">
        <v>161</v>
      </c>
      <c r="O50" s="22">
        <v>1</v>
      </c>
      <c r="P50" s="22">
        <v>1</v>
      </c>
      <c r="Q50" s="22">
        <v>1</v>
      </c>
      <c r="R50" s="12" t="s">
        <v>567</v>
      </c>
      <c r="S50" s="133">
        <v>0.02</v>
      </c>
      <c r="T50" s="9" t="s">
        <v>1024</v>
      </c>
      <c r="U50" s="1" t="s">
        <v>566</v>
      </c>
      <c r="Y50" s="9" t="str">
        <f t="shared" si="2"/>
        <v>No</v>
      </c>
      <c r="Z50" s="22">
        <v>440</v>
      </c>
      <c r="AA50" s="22">
        <v>1100</v>
      </c>
      <c r="AB50" s="22">
        <v>220</v>
      </c>
      <c r="AC50" s="78">
        <f t="shared" si="0"/>
        <v>-220</v>
      </c>
    </row>
    <row r="51" spans="1:30">
      <c r="A51" s="3" t="s">
        <v>130</v>
      </c>
      <c r="B51" s="9" t="s">
        <v>118</v>
      </c>
      <c r="D51" s="2" t="s">
        <v>65</v>
      </c>
      <c r="E51" s="2" t="s">
        <v>55</v>
      </c>
      <c r="F51" s="1" t="s">
        <v>131</v>
      </c>
      <c r="O51" s="22">
        <v>0</v>
      </c>
      <c r="P51" s="22">
        <v>0</v>
      </c>
      <c r="Q51" s="22">
        <v>0</v>
      </c>
      <c r="R51" s="12" t="s">
        <v>575</v>
      </c>
      <c r="Y51" s="9" t="str">
        <f t="shared" si="2"/>
        <v>Yes</v>
      </c>
      <c r="Z51" s="22">
        <v>30</v>
      </c>
      <c r="AA51" s="22">
        <v>0</v>
      </c>
      <c r="AC51" s="78">
        <f t="shared" si="0"/>
        <v>-30</v>
      </c>
    </row>
    <row r="52" spans="1:30" s="20" customFormat="1">
      <c r="A52" s="27" t="s">
        <v>132</v>
      </c>
      <c r="B52" s="20" t="s">
        <v>118</v>
      </c>
      <c r="D52" s="35" t="s">
        <v>133</v>
      </c>
      <c r="E52" s="35" t="s">
        <v>94</v>
      </c>
      <c r="F52" s="26" t="s">
        <v>134</v>
      </c>
      <c r="G52" s="34" t="s">
        <v>326</v>
      </c>
      <c r="H52" s="34" t="s">
        <v>346</v>
      </c>
      <c r="N52" s="26"/>
      <c r="O52" s="33">
        <v>8</v>
      </c>
      <c r="P52" s="33">
        <v>0</v>
      </c>
      <c r="Q52" s="33">
        <v>0</v>
      </c>
      <c r="R52" s="37" t="s">
        <v>570</v>
      </c>
      <c r="S52" s="134">
        <v>0.08</v>
      </c>
      <c r="T52" s="20" t="s">
        <v>622</v>
      </c>
      <c r="U52" s="26" t="s">
        <v>571</v>
      </c>
      <c r="V52" s="134"/>
      <c r="X52" s="26"/>
      <c r="Y52" s="20" t="str">
        <f t="shared" si="2"/>
        <v>No</v>
      </c>
      <c r="Z52" s="33">
        <v>1680</v>
      </c>
      <c r="AA52" s="33">
        <v>4180</v>
      </c>
      <c r="AB52" s="33">
        <v>836</v>
      </c>
      <c r="AC52" s="112">
        <f t="shared" si="0"/>
        <v>-844</v>
      </c>
      <c r="AD52" s="33"/>
    </row>
    <row r="53" spans="1:30">
      <c r="A53" s="3" t="s">
        <v>136</v>
      </c>
      <c r="B53" s="9" t="s">
        <v>135</v>
      </c>
      <c r="D53" s="9" t="s">
        <v>55</v>
      </c>
      <c r="E53" s="9" t="s">
        <v>137</v>
      </c>
      <c r="F53" s="1" t="s">
        <v>86</v>
      </c>
      <c r="O53" s="22">
        <v>0</v>
      </c>
      <c r="P53" s="22">
        <v>0</v>
      </c>
      <c r="Q53" s="22">
        <v>0</v>
      </c>
      <c r="R53" s="1" t="s">
        <v>577</v>
      </c>
      <c r="Y53" s="9" t="str">
        <f t="shared" si="2"/>
        <v>Yes</v>
      </c>
      <c r="Z53" s="22">
        <v>50</v>
      </c>
      <c r="AA53" s="22">
        <v>0</v>
      </c>
      <c r="AC53" s="78">
        <f t="shared" si="0"/>
        <v>-50</v>
      </c>
    </row>
    <row r="54" spans="1:30">
      <c r="A54" s="3" t="s">
        <v>138</v>
      </c>
      <c r="B54" s="9" t="s">
        <v>135</v>
      </c>
      <c r="D54" s="2" t="s">
        <v>139</v>
      </c>
      <c r="E54" s="2" t="s">
        <v>25</v>
      </c>
      <c r="F54" s="1" t="s">
        <v>102</v>
      </c>
      <c r="G54" s="16" t="s">
        <v>150</v>
      </c>
      <c r="H54" s="17" t="s">
        <v>169</v>
      </c>
      <c r="O54" s="22">
        <v>1</v>
      </c>
      <c r="P54" s="22">
        <v>1</v>
      </c>
      <c r="Q54" s="22">
        <v>1</v>
      </c>
      <c r="R54" s="12" t="s">
        <v>570</v>
      </c>
      <c r="Y54" s="9" t="str">
        <f t="shared" si="2"/>
        <v>No</v>
      </c>
      <c r="Z54" s="22">
        <v>60</v>
      </c>
      <c r="AA54" s="22">
        <v>300</v>
      </c>
      <c r="AB54" s="22">
        <v>60</v>
      </c>
      <c r="AC54" s="78">
        <f t="shared" si="0"/>
        <v>0</v>
      </c>
    </row>
    <row r="55" spans="1:30">
      <c r="A55" s="4" t="s">
        <v>140</v>
      </c>
      <c r="B55" s="9" t="s">
        <v>135</v>
      </c>
      <c r="D55" s="2" t="s">
        <v>141</v>
      </c>
      <c r="E55" s="2" t="s">
        <v>142</v>
      </c>
      <c r="F55" s="1" t="s">
        <v>143</v>
      </c>
      <c r="G55" s="18" t="s">
        <v>545</v>
      </c>
      <c r="O55" s="22">
        <v>1</v>
      </c>
      <c r="P55" s="22">
        <v>1</v>
      </c>
      <c r="Q55" s="22">
        <v>1</v>
      </c>
      <c r="R55" s="12" t="s">
        <v>575</v>
      </c>
      <c r="S55" s="133">
        <v>0.01</v>
      </c>
      <c r="T55" s="9" t="s">
        <v>1024</v>
      </c>
      <c r="U55" s="1" t="s">
        <v>572</v>
      </c>
      <c r="Y55" s="9" t="str">
        <f t="shared" si="2"/>
        <v>No</v>
      </c>
      <c r="Z55" s="22">
        <v>153</v>
      </c>
      <c r="AA55" s="22">
        <v>75</v>
      </c>
      <c r="AB55" s="22">
        <v>15</v>
      </c>
      <c r="AC55" s="78">
        <f t="shared" si="0"/>
        <v>-138</v>
      </c>
    </row>
    <row r="56" spans="1:30">
      <c r="A56" s="3" t="s">
        <v>853</v>
      </c>
      <c r="B56" s="9" t="s">
        <v>135</v>
      </c>
      <c r="D56" s="2" t="s">
        <v>31</v>
      </c>
      <c r="E56" s="2" t="s">
        <v>102</v>
      </c>
      <c r="F56" s="1" t="s">
        <v>24</v>
      </c>
      <c r="G56" s="19" t="s">
        <v>529</v>
      </c>
      <c r="H56" s="17" t="s">
        <v>535</v>
      </c>
      <c r="O56" s="22">
        <v>3</v>
      </c>
      <c r="P56" s="22">
        <v>0</v>
      </c>
      <c r="Q56" s="22">
        <v>3</v>
      </c>
      <c r="R56" s="12" t="s">
        <v>565</v>
      </c>
      <c r="Y56" s="9" t="str">
        <f t="shared" si="2"/>
        <v>No</v>
      </c>
      <c r="Z56" s="22">
        <v>60</v>
      </c>
      <c r="AA56" s="22">
        <v>1170</v>
      </c>
      <c r="AB56" s="22">
        <v>234</v>
      </c>
      <c r="AC56" s="78">
        <f t="shared" si="0"/>
        <v>174</v>
      </c>
    </row>
    <row r="57" spans="1:30">
      <c r="A57" s="3" t="s">
        <v>696</v>
      </c>
      <c r="B57" s="2" t="s">
        <v>135</v>
      </c>
      <c r="D57" s="2" t="s">
        <v>1023</v>
      </c>
      <c r="E57" s="2"/>
      <c r="G57" s="2" t="s">
        <v>527</v>
      </c>
      <c r="H57" s="17" t="s">
        <v>533</v>
      </c>
      <c r="I57" s="16" t="s">
        <v>140</v>
      </c>
      <c r="J57" s="17"/>
      <c r="O57" s="22">
        <v>0</v>
      </c>
      <c r="P57" s="22">
        <v>0</v>
      </c>
      <c r="Q57" s="22">
        <v>0</v>
      </c>
      <c r="R57" s="12" t="s">
        <v>565</v>
      </c>
      <c r="Y57" s="9" t="str">
        <f t="shared" si="2"/>
        <v>No</v>
      </c>
      <c r="Z57" s="22">
        <v>60</v>
      </c>
      <c r="AA57" s="22">
        <v>10</v>
      </c>
      <c r="AB57" s="22">
        <v>2</v>
      </c>
      <c r="AC57" s="78">
        <f t="shared" si="0"/>
        <v>-58</v>
      </c>
    </row>
    <row r="58" spans="1:30">
      <c r="A58" s="4" t="s">
        <v>144</v>
      </c>
      <c r="B58" s="9" t="s">
        <v>135</v>
      </c>
      <c r="D58" s="2" t="s">
        <v>81</v>
      </c>
      <c r="E58" s="2" t="s">
        <v>63</v>
      </c>
      <c r="F58" s="1" t="s">
        <v>145</v>
      </c>
      <c r="O58" s="22">
        <v>0</v>
      </c>
      <c r="P58" s="22">
        <v>4</v>
      </c>
      <c r="Q58" s="22">
        <v>4</v>
      </c>
      <c r="R58" s="12" t="s">
        <v>565</v>
      </c>
      <c r="Y58" s="9" t="str">
        <f t="shared" si="2"/>
        <v>Yes</v>
      </c>
      <c r="Z58" s="22">
        <v>440</v>
      </c>
      <c r="AA58" s="22">
        <v>1955</v>
      </c>
      <c r="AB58" s="22">
        <v>391</v>
      </c>
      <c r="AC58" s="78">
        <f t="shared" si="0"/>
        <v>-49</v>
      </c>
    </row>
    <row r="59" spans="1:30">
      <c r="A59" s="6" t="s">
        <v>146</v>
      </c>
      <c r="B59" s="9" t="s">
        <v>135</v>
      </c>
      <c r="D59" s="2" t="s">
        <v>147</v>
      </c>
      <c r="E59" s="2" t="s">
        <v>148</v>
      </c>
      <c r="F59" s="1" t="s">
        <v>149</v>
      </c>
      <c r="G59" s="18" t="s">
        <v>545</v>
      </c>
      <c r="O59" s="22">
        <v>0</v>
      </c>
      <c r="P59" s="22">
        <v>20</v>
      </c>
      <c r="Q59" s="22">
        <v>0</v>
      </c>
      <c r="R59" s="12" t="s">
        <v>565</v>
      </c>
      <c r="S59" s="133">
        <v>0.1</v>
      </c>
      <c r="T59" s="9" t="s">
        <v>624</v>
      </c>
      <c r="U59" s="1" t="s">
        <v>566</v>
      </c>
      <c r="Y59" s="9" t="str">
        <f t="shared" si="2"/>
        <v>No</v>
      </c>
      <c r="Z59" s="22">
        <v>7300</v>
      </c>
      <c r="AA59" s="22">
        <v>13500</v>
      </c>
      <c r="AB59" s="22">
        <v>2700</v>
      </c>
      <c r="AC59" s="78">
        <f t="shared" si="0"/>
        <v>-4600</v>
      </c>
    </row>
    <row r="60" spans="1:30">
      <c r="A60" s="4" t="s">
        <v>150</v>
      </c>
      <c r="B60" s="9" t="s">
        <v>135</v>
      </c>
      <c r="D60" s="2" t="s">
        <v>151</v>
      </c>
      <c r="E60" s="2" t="s">
        <v>152</v>
      </c>
      <c r="F60" s="1" t="s">
        <v>55</v>
      </c>
      <c r="G60" s="17" t="s">
        <v>161</v>
      </c>
      <c r="O60" s="22">
        <v>1</v>
      </c>
      <c r="P60" s="22">
        <v>1</v>
      </c>
      <c r="Q60" s="22">
        <v>1</v>
      </c>
      <c r="R60" s="12" t="s">
        <v>567</v>
      </c>
      <c r="S60" s="133">
        <v>0.01</v>
      </c>
      <c r="T60" s="9" t="s">
        <v>1024</v>
      </c>
      <c r="U60" s="1" t="s">
        <v>572</v>
      </c>
      <c r="Y60" s="9" t="str">
        <f t="shared" si="2"/>
        <v>No</v>
      </c>
      <c r="Z60" s="22">
        <v>320</v>
      </c>
      <c r="AA60" s="22">
        <v>1100</v>
      </c>
      <c r="AB60" s="22">
        <v>220</v>
      </c>
      <c r="AC60" s="78">
        <f t="shared" si="0"/>
        <v>-100</v>
      </c>
    </row>
    <row r="61" spans="1:30">
      <c r="A61" s="3" t="s">
        <v>153</v>
      </c>
      <c r="B61" s="9" t="s">
        <v>135</v>
      </c>
      <c r="D61" s="2" t="s">
        <v>56</v>
      </c>
      <c r="E61" s="2" t="s">
        <v>154</v>
      </c>
      <c r="F61" s="1" t="s">
        <v>152</v>
      </c>
      <c r="O61" s="22">
        <v>0</v>
      </c>
      <c r="P61" s="22">
        <v>0</v>
      </c>
      <c r="Q61" s="22">
        <v>0</v>
      </c>
      <c r="R61" s="12" t="s">
        <v>575</v>
      </c>
      <c r="Y61" s="9" t="str">
        <f t="shared" si="2"/>
        <v>Yes</v>
      </c>
      <c r="Z61" s="22">
        <v>10</v>
      </c>
      <c r="AA61" s="22">
        <v>0</v>
      </c>
      <c r="AC61" s="78">
        <f t="shared" si="0"/>
        <v>-10</v>
      </c>
    </row>
    <row r="62" spans="1:30">
      <c r="A62" s="3" t="s">
        <v>846</v>
      </c>
      <c r="B62" s="9" t="s">
        <v>135</v>
      </c>
      <c r="D62" s="2" t="s">
        <v>156</v>
      </c>
      <c r="E62" s="2" t="s">
        <v>157</v>
      </c>
      <c r="F62" s="1" t="s">
        <v>158</v>
      </c>
      <c r="G62" s="18" t="s">
        <v>256</v>
      </c>
      <c r="O62" s="22">
        <v>8</v>
      </c>
      <c r="P62" s="22">
        <v>0</v>
      </c>
      <c r="Q62" s="22">
        <v>0</v>
      </c>
      <c r="R62" s="12" t="s">
        <v>565</v>
      </c>
      <c r="S62" s="133">
        <v>0.08</v>
      </c>
      <c r="T62" s="9" t="s">
        <v>622</v>
      </c>
      <c r="U62" s="1" t="s">
        <v>566</v>
      </c>
      <c r="Y62" s="9" t="str">
        <f t="shared" si="2"/>
        <v>No</v>
      </c>
      <c r="Z62" s="22">
        <v>1100</v>
      </c>
      <c r="AA62" s="22">
        <v>4940</v>
      </c>
      <c r="AB62" s="22">
        <v>988</v>
      </c>
      <c r="AC62" s="78">
        <f t="shared" si="0"/>
        <v>-112</v>
      </c>
    </row>
    <row r="63" spans="1:30">
      <c r="A63" s="3" t="s">
        <v>159</v>
      </c>
      <c r="B63" s="9" t="s">
        <v>135</v>
      </c>
      <c r="D63" s="2" t="s">
        <v>137</v>
      </c>
      <c r="E63" s="2" t="s">
        <v>120</v>
      </c>
      <c r="F63" s="1" t="s">
        <v>160</v>
      </c>
      <c r="O63" s="22">
        <v>0</v>
      </c>
      <c r="P63" s="22">
        <v>0</v>
      </c>
      <c r="Q63" s="22">
        <v>0</v>
      </c>
      <c r="R63" s="12" t="s">
        <v>575</v>
      </c>
      <c r="Y63" s="9" t="str">
        <f t="shared" si="2"/>
        <v>Yes</v>
      </c>
      <c r="Z63" s="22">
        <v>20</v>
      </c>
      <c r="AA63" s="22">
        <v>0</v>
      </c>
      <c r="AC63" s="78">
        <f t="shared" si="0"/>
        <v>-20</v>
      </c>
    </row>
    <row r="64" spans="1:30">
      <c r="A64" s="5" t="s">
        <v>161</v>
      </c>
      <c r="B64" s="9" t="s">
        <v>135</v>
      </c>
      <c r="D64" s="2" t="s">
        <v>162</v>
      </c>
      <c r="E64" s="2" t="s">
        <v>163</v>
      </c>
      <c r="F64" s="1" t="s">
        <v>164</v>
      </c>
      <c r="G64" s="17" t="s">
        <v>114</v>
      </c>
      <c r="O64" s="22">
        <v>1</v>
      </c>
      <c r="P64" s="22">
        <v>1</v>
      </c>
      <c r="Q64" s="22">
        <v>1</v>
      </c>
      <c r="R64" s="12" t="s">
        <v>567</v>
      </c>
      <c r="S64" s="133">
        <v>0.03</v>
      </c>
      <c r="T64" s="2" t="s">
        <v>1024</v>
      </c>
      <c r="U64" s="1" t="s">
        <v>572</v>
      </c>
      <c r="Y64" s="9" t="str">
        <f t="shared" si="2"/>
        <v>No</v>
      </c>
      <c r="Z64" s="22">
        <v>1600</v>
      </c>
      <c r="AA64" s="22">
        <v>8550</v>
      </c>
      <c r="AB64" s="22">
        <v>1710</v>
      </c>
      <c r="AC64" s="78">
        <f t="shared" si="0"/>
        <v>110</v>
      </c>
    </row>
    <row r="65" spans="1:30" s="20" customFormat="1">
      <c r="A65" s="27" t="s">
        <v>165</v>
      </c>
      <c r="B65" s="20" t="s">
        <v>135</v>
      </c>
      <c r="D65" s="35" t="s">
        <v>166</v>
      </c>
      <c r="E65" s="35" t="s">
        <v>167</v>
      </c>
      <c r="F65" s="26" t="s">
        <v>168</v>
      </c>
      <c r="N65" s="26"/>
      <c r="O65" s="33">
        <v>0</v>
      </c>
      <c r="P65" s="33">
        <v>7</v>
      </c>
      <c r="Q65" s="33">
        <v>7</v>
      </c>
      <c r="R65" s="37" t="s">
        <v>570</v>
      </c>
      <c r="S65" s="134">
        <v>7.0000000000000007E-2</v>
      </c>
      <c r="T65" s="20" t="s">
        <v>627</v>
      </c>
      <c r="U65" s="26" t="s">
        <v>572</v>
      </c>
      <c r="V65" s="134">
        <v>7.0000000000000007E-2</v>
      </c>
      <c r="W65" s="20" t="s">
        <v>628</v>
      </c>
      <c r="X65" s="26" t="s">
        <v>572</v>
      </c>
      <c r="Y65" s="20" t="str">
        <f t="shared" si="2"/>
        <v>Yes</v>
      </c>
      <c r="Z65" s="33">
        <v>1440</v>
      </c>
      <c r="AA65" s="33">
        <v>10395</v>
      </c>
      <c r="AB65" s="33">
        <v>2079</v>
      </c>
      <c r="AC65" s="112">
        <f t="shared" si="0"/>
        <v>639</v>
      </c>
      <c r="AD65" s="33"/>
    </row>
    <row r="66" spans="1:30">
      <c r="A66" s="3" t="s">
        <v>171</v>
      </c>
      <c r="B66" s="9" t="s">
        <v>170</v>
      </c>
      <c r="D66" s="9" t="s">
        <v>86</v>
      </c>
      <c r="E66" s="9" t="s">
        <v>53</v>
      </c>
      <c r="G66" s="9" t="s">
        <v>172</v>
      </c>
      <c r="H66" s="9" t="s">
        <v>174</v>
      </c>
      <c r="I66" s="24" t="s">
        <v>175</v>
      </c>
      <c r="O66" s="22">
        <v>1</v>
      </c>
      <c r="P66" s="22">
        <v>0</v>
      </c>
      <c r="Q66" s="22">
        <v>0</v>
      </c>
      <c r="R66" s="1" t="s">
        <v>570</v>
      </c>
      <c r="S66" s="133">
        <v>0.01</v>
      </c>
      <c r="T66" s="2" t="s">
        <v>622</v>
      </c>
      <c r="U66" s="1" t="s">
        <v>571</v>
      </c>
      <c r="Y66" s="9" t="str">
        <f t="shared" si="2"/>
        <v>No</v>
      </c>
      <c r="Z66" s="22">
        <v>60</v>
      </c>
      <c r="AA66" s="22">
        <v>175</v>
      </c>
      <c r="AB66" s="22">
        <v>35</v>
      </c>
      <c r="AC66" s="78">
        <f t="shared" si="0"/>
        <v>-25</v>
      </c>
    </row>
    <row r="67" spans="1:30">
      <c r="A67" s="3" t="s">
        <v>172</v>
      </c>
      <c r="B67" s="9" t="s">
        <v>170</v>
      </c>
      <c r="D67" s="2" t="s">
        <v>173</v>
      </c>
      <c r="E67" s="2" t="s">
        <v>89</v>
      </c>
      <c r="F67" s="1" t="s">
        <v>32</v>
      </c>
      <c r="G67" s="16" t="s">
        <v>455</v>
      </c>
      <c r="H67" s="2" t="s">
        <v>486</v>
      </c>
      <c r="O67" s="22">
        <v>3</v>
      </c>
      <c r="P67" s="22">
        <v>0</v>
      </c>
      <c r="Q67" s="22">
        <v>0</v>
      </c>
      <c r="R67" s="12" t="s">
        <v>570</v>
      </c>
      <c r="Y67" s="9" t="str">
        <f t="shared" si="2"/>
        <v>No</v>
      </c>
      <c r="Z67" s="22">
        <v>120</v>
      </c>
      <c r="AA67" s="22">
        <v>450</v>
      </c>
      <c r="AB67" s="22">
        <v>90</v>
      </c>
      <c r="AC67" s="78">
        <f t="shared" si="0"/>
        <v>-30</v>
      </c>
    </row>
    <row r="68" spans="1:30">
      <c r="A68" s="3" t="s">
        <v>174</v>
      </c>
      <c r="B68" s="9" t="s">
        <v>170</v>
      </c>
      <c r="D68" s="2" t="s">
        <v>173</v>
      </c>
      <c r="E68" s="2" t="s">
        <v>22</v>
      </c>
      <c r="G68" s="24" t="s">
        <v>177</v>
      </c>
      <c r="O68" s="22">
        <v>1</v>
      </c>
      <c r="P68" s="22">
        <v>0</v>
      </c>
      <c r="Q68" s="22">
        <v>0</v>
      </c>
      <c r="R68" s="12" t="s">
        <v>570</v>
      </c>
      <c r="S68" s="133">
        <v>0.01</v>
      </c>
      <c r="T68" s="2" t="s">
        <v>621</v>
      </c>
      <c r="U68" s="1" t="s">
        <v>571</v>
      </c>
      <c r="Y68" s="9" t="str">
        <f t="shared" si="2"/>
        <v>No</v>
      </c>
      <c r="Z68" s="22">
        <v>120</v>
      </c>
      <c r="AA68" s="22">
        <v>175</v>
      </c>
      <c r="AB68" s="22">
        <v>35</v>
      </c>
      <c r="AC68" s="78">
        <f t="shared" si="0"/>
        <v>-85</v>
      </c>
    </row>
    <row r="69" spans="1:30">
      <c r="A69" s="4" t="s">
        <v>175</v>
      </c>
      <c r="B69" s="9" t="s">
        <v>170</v>
      </c>
      <c r="D69" s="2" t="s">
        <v>176</v>
      </c>
      <c r="E69" s="2" t="s">
        <v>139</v>
      </c>
      <c r="F69" s="1" t="s">
        <v>61</v>
      </c>
      <c r="G69" s="17" t="s">
        <v>292</v>
      </c>
      <c r="O69" s="22">
        <v>3</v>
      </c>
      <c r="P69" s="22">
        <v>0</v>
      </c>
      <c r="Q69" s="22">
        <v>0</v>
      </c>
      <c r="R69" s="12" t="s">
        <v>570</v>
      </c>
      <c r="S69" s="133">
        <v>0.03</v>
      </c>
      <c r="T69" s="2" t="s">
        <v>622</v>
      </c>
      <c r="U69" s="1" t="s">
        <v>571</v>
      </c>
      <c r="Y69" s="9" t="str">
        <f t="shared" si="2"/>
        <v>No</v>
      </c>
      <c r="Z69" s="22">
        <v>320</v>
      </c>
      <c r="AA69" s="22">
        <v>740</v>
      </c>
      <c r="AB69" s="22">
        <v>148</v>
      </c>
      <c r="AC69" s="78">
        <f t="shared" ref="AC69:AC148" si="3">AB69-Z69</f>
        <v>-172</v>
      </c>
    </row>
    <row r="70" spans="1:30">
      <c r="A70" s="4" t="s">
        <v>177</v>
      </c>
      <c r="B70" s="9" t="s">
        <v>170</v>
      </c>
      <c r="D70" s="2" t="s">
        <v>178</v>
      </c>
      <c r="E70" s="2" t="s">
        <v>41</v>
      </c>
      <c r="F70" s="1" t="s">
        <v>86</v>
      </c>
      <c r="G70" s="17" t="s">
        <v>188</v>
      </c>
      <c r="O70" s="22">
        <v>3</v>
      </c>
      <c r="P70" s="22">
        <v>0</v>
      </c>
      <c r="Q70" s="22">
        <v>0</v>
      </c>
      <c r="R70" s="12" t="s">
        <v>570</v>
      </c>
      <c r="S70" s="133">
        <v>0.03</v>
      </c>
      <c r="T70" s="2" t="s">
        <v>621</v>
      </c>
      <c r="U70" s="1" t="s">
        <v>571</v>
      </c>
      <c r="Y70" s="9" t="str">
        <f t="shared" si="2"/>
        <v>No</v>
      </c>
      <c r="Z70" s="22">
        <v>440</v>
      </c>
      <c r="AA70" s="22">
        <v>740</v>
      </c>
      <c r="AB70" s="22">
        <v>148</v>
      </c>
      <c r="AC70" s="78">
        <f t="shared" si="3"/>
        <v>-292</v>
      </c>
    </row>
    <row r="71" spans="1:30">
      <c r="A71" s="4" t="s">
        <v>179</v>
      </c>
      <c r="B71" s="9" t="s">
        <v>170</v>
      </c>
      <c r="D71" s="2" t="s">
        <v>180</v>
      </c>
      <c r="E71" s="2" t="s">
        <v>181</v>
      </c>
      <c r="G71" s="17" t="s">
        <v>457</v>
      </c>
      <c r="O71" s="22">
        <v>3</v>
      </c>
      <c r="P71" s="22">
        <v>0</v>
      </c>
      <c r="Q71" s="22">
        <v>0</v>
      </c>
      <c r="R71" s="12" t="s">
        <v>567</v>
      </c>
      <c r="S71" s="133">
        <v>0.02</v>
      </c>
      <c r="T71" s="2" t="s">
        <v>561</v>
      </c>
      <c r="U71" s="1" t="s">
        <v>571</v>
      </c>
      <c r="Y71" s="9" t="str">
        <f t="shared" si="2"/>
        <v>No</v>
      </c>
      <c r="Z71" s="22">
        <v>1520</v>
      </c>
      <c r="AA71" s="22">
        <v>650</v>
      </c>
      <c r="AB71" s="22">
        <v>130</v>
      </c>
      <c r="AC71" s="78">
        <f t="shared" si="3"/>
        <v>-1390</v>
      </c>
    </row>
    <row r="72" spans="1:30">
      <c r="A72" s="5" t="s">
        <v>182</v>
      </c>
      <c r="B72" s="9" t="s">
        <v>170</v>
      </c>
      <c r="D72" s="2" t="s">
        <v>183</v>
      </c>
      <c r="E72" s="2" t="s">
        <v>184</v>
      </c>
      <c r="F72" s="1" t="s">
        <v>166</v>
      </c>
      <c r="O72" s="22">
        <v>2</v>
      </c>
      <c r="P72" s="22">
        <v>0</v>
      </c>
      <c r="Q72" s="22">
        <v>0</v>
      </c>
      <c r="R72" s="12" t="s">
        <v>565</v>
      </c>
      <c r="S72" s="133">
        <v>0.03</v>
      </c>
      <c r="T72" s="2" t="s">
        <v>1024</v>
      </c>
      <c r="U72" s="1" t="s">
        <v>571</v>
      </c>
      <c r="Y72" s="9" t="str">
        <f t="shared" si="2"/>
        <v>Yes</v>
      </c>
      <c r="Z72" s="22">
        <v>1440</v>
      </c>
      <c r="AA72" s="22">
        <v>5685</v>
      </c>
      <c r="AB72" s="22">
        <v>1137</v>
      </c>
      <c r="AC72" s="78">
        <f t="shared" si="3"/>
        <v>-303</v>
      </c>
    </row>
    <row r="73" spans="1:30" s="20" customFormat="1">
      <c r="A73" s="27" t="s">
        <v>185</v>
      </c>
      <c r="B73" s="20" t="s">
        <v>170</v>
      </c>
      <c r="D73" s="35" t="s">
        <v>186</v>
      </c>
      <c r="E73" s="35" t="s">
        <v>44</v>
      </c>
      <c r="F73" s="26" t="s">
        <v>187</v>
      </c>
      <c r="N73" s="26"/>
      <c r="O73" s="33">
        <v>8</v>
      </c>
      <c r="P73" s="33">
        <v>0</v>
      </c>
      <c r="Q73" s="33">
        <v>0</v>
      </c>
      <c r="R73" s="37" t="s">
        <v>570</v>
      </c>
      <c r="S73" s="134">
        <v>0.08</v>
      </c>
      <c r="T73" s="20" t="s">
        <v>621</v>
      </c>
      <c r="U73" s="26" t="s">
        <v>571</v>
      </c>
      <c r="V73" s="134"/>
      <c r="X73" s="26"/>
      <c r="Y73" s="20" t="str">
        <f t="shared" si="2"/>
        <v>Yes</v>
      </c>
      <c r="Z73" s="33">
        <v>1680</v>
      </c>
      <c r="AA73" s="33">
        <v>4180</v>
      </c>
      <c r="AB73" s="33">
        <v>836</v>
      </c>
      <c r="AC73" s="112">
        <f t="shared" si="3"/>
        <v>-844</v>
      </c>
      <c r="AD73" s="33"/>
    </row>
    <row r="74" spans="1:30">
      <c r="A74" s="3" t="s">
        <v>190</v>
      </c>
      <c r="B74" s="9" t="s">
        <v>189</v>
      </c>
      <c r="D74" s="9" t="s">
        <v>52</v>
      </c>
      <c r="E74" s="9" t="s">
        <v>53</v>
      </c>
      <c r="G74" s="24" t="s">
        <v>195</v>
      </c>
      <c r="O74" s="22">
        <v>0</v>
      </c>
      <c r="P74" s="22">
        <v>1</v>
      </c>
      <c r="Q74" s="22">
        <v>1</v>
      </c>
      <c r="R74" s="1" t="s">
        <v>570</v>
      </c>
      <c r="S74" s="133">
        <v>0.01</v>
      </c>
      <c r="T74" s="2" t="s">
        <v>629</v>
      </c>
      <c r="U74" s="1" t="s">
        <v>571</v>
      </c>
      <c r="Y74" s="9" t="str">
        <f t="shared" si="2"/>
        <v>No</v>
      </c>
      <c r="Z74" s="22">
        <v>60</v>
      </c>
      <c r="AA74" s="22">
        <v>175</v>
      </c>
      <c r="AB74" s="22">
        <v>35</v>
      </c>
      <c r="AC74" s="78">
        <f t="shared" si="3"/>
        <v>-25</v>
      </c>
    </row>
    <row r="75" spans="1:30">
      <c r="A75" s="3" t="s">
        <v>191</v>
      </c>
      <c r="B75" s="9" t="s">
        <v>189</v>
      </c>
      <c r="D75" s="2" t="s">
        <v>22</v>
      </c>
      <c r="E75" s="2" t="s">
        <v>31</v>
      </c>
      <c r="F75" s="1" t="s">
        <v>32</v>
      </c>
      <c r="G75" s="16" t="s">
        <v>198</v>
      </c>
      <c r="H75" s="17" t="s">
        <v>200</v>
      </c>
      <c r="O75" s="22">
        <v>0</v>
      </c>
      <c r="P75" s="22">
        <v>0</v>
      </c>
      <c r="Q75" s="22">
        <v>1</v>
      </c>
      <c r="R75" s="12" t="s">
        <v>565</v>
      </c>
      <c r="S75" s="135">
        <v>0.01</v>
      </c>
      <c r="T75" s="2" t="s">
        <v>629</v>
      </c>
      <c r="U75" s="12" t="s">
        <v>566</v>
      </c>
      <c r="Y75" s="9" t="str">
        <f t="shared" si="2"/>
        <v>No</v>
      </c>
      <c r="Z75" s="22">
        <v>60</v>
      </c>
      <c r="AA75" s="22">
        <v>225</v>
      </c>
      <c r="AB75" s="22">
        <v>45</v>
      </c>
      <c r="AC75" s="78">
        <f t="shared" si="3"/>
        <v>-15</v>
      </c>
    </row>
    <row r="76" spans="1:30">
      <c r="A76" s="4" t="s">
        <v>192</v>
      </c>
      <c r="B76" s="9" t="s">
        <v>189</v>
      </c>
      <c r="D76" s="2" t="s">
        <v>59</v>
      </c>
      <c r="E76" s="2" t="s">
        <v>193</v>
      </c>
      <c r="F76" s="1" t="s">
        <v>194</v>
      </c>
      <c r="G76" s="17" t="s">
        <v>373</v>
      </c>
      <c r="O76" s="22">
        <v>0</v>
      </c>
      <c r="P76" s="22">
        <v>0</v>
      </c>
      <c r="Q76" s="22">
        <v>3</v>
      </c>
      <c r="R76" s="12" t="s">
        <v>567</v>
      </c>
      <c r="S76" s="135">
        <v>0.03</v>
      </c>
      <c r="T76" s="2" t="s">
        <v>629</v>
      </c>
      <c r="U76" s="12" t="s">
        <v>572</v>
      </c>
      <c r="Y76" s="9" t="str">
        <f t="shared" si="2"/>
        <v>No</v>
      </c>
      <c r="Z76" s="22">
        <v>780</v>
      </c>
      <c r="AA76" s="22">
        <v>1200</v>
      </c>
      <c r="AB76" s="22">
        <v>240</v>
      </c>
      <c r="AC76" s="78">
        <f t="shared" si="3"/>
        <v>-540</v>
      </c>
    </row>
    <row r="77" spans="1:30">
      <c r="A77" s="4" t="s">
        <v>195</v>
      </c>
      <c r="B77" s="9" t="s">
        <v>189</v>
      </c>
      <c r="D77" s="2" t="s">
        <v>196</v>
      </c>
      <c r="E77" s="2" t="s">
        <v>52</v>
      </c>
      <c r="F77" s="1" t="s">
        <v>197</v>
      </c>
      <c r="G77" s="16" t="s">
        <v>192</v>
      </c>
      <c r="H77" s="17" t="s">
        <v>204</v>
      </c>
      <c r="I77" s="17" t="s">
        <v>338</v>
      </c>
      <c r="O77" s="22">
        <v>0</v>
      </c>
      <c r="P77" s="22">
        <v>0</v>
      </c>
      <c r="Q77" s="22">
        <v>3</v>
      </c>
      <c r="R77" s="12" t="s">
        <v>570</v>
      </c>
      <c r="S77" s="135">
        <v>0.03</v>
      </c>
      <c r="T77" s="2" t="s">
        <v>629</v>
      </c>
      <c r="U77" s="12" t="s">
        <v>571</v>
      </c>
      <c r="Y77" s="9" t="str">
        <f t="shared" si="2"/>
        <v>No</v>
      </c>
      <c r="Z77" s="22">
        <v>260</v>
      </c>
      <c r="AA77" s="22">
        <v>740</v>
      </c>
      <c r="AB77" s="22">
        <v>148</v>
      </c>
      <c r="AC77" s="78">
        <f t="shared" si="3"/>
        <v>-112</v>
      </c>
    </row>
    <row r="78" spans="1:30">
      <c r="A78" s="4" t="s">
        <v>198</v>
      </c>
      <c r="B78" s="9" t="s">
        <v>189</v>
      </c>
      <c r="D78" s="2" t="s">
        <v>199</v>
      </c>
      <c r="E78" s="2" t="s">
        <v>64</v>
      </c>
      <c r="F78" s="1" t="s">
        <v>65</v>
      </c>
      <c r="G78" s="16" t="s">
        <v>192</v>
      </c>
      <c r="H78" s="17" t="s">
        <v>200</v>
      </c>
      <c r="I78" s="17" t="s">
        <v>207</v>
      </c>
      <c r="J78" s="25" t="s">
        <v>295</v>
      </c>
      <c r="K78" s="25" t="s">
        <v>410</v>
      </c>
      <c r="O78" s="22">
        <v>0</v>
      </c>
      <c r="P78" s="22">
        <v>0</v>
      </c>
      <c r="Q78" s="22">
        <v>3</v>
      </c>
      <c r="R78" s="12" t="s">
        <v>565</v>
      </c>
      <c r="S78" s="135">
        <v>0.03</v>
      </c>
      <c r="T78" s="2" t="s">
        <v>629</v>
      </c>
      <c r="U78" s="12" t="s">
        <v>566</v>
      </c>
      <c r="Y78" s="9" t="str">
        <f t="shared" si="2"/>
        <v>No</v>
      </c>
      <c r="Z78" s="22">
        <v>260</v>
      </c>
      <c r="AA78" s="22">
        <v>940</v>
      </c>
      <c r="AB78" s="22">
        <v>188</v>
      </c>
      <c r="AC78" s="78">
        <f t="shared" si="3"/>
        <v>-72</v>
      </c>
    </row>
    <row r="79" spans="1:30">
      <c r="A79" s="5" t="s">
        <v>200</v>
      </c>
      <c r="B79" s="9" t="s">
        <v>189</v>
      </c>
      <c r="D79" s="2" t="s">
        <v>201</v>
      </c>
      <c r="E79" s="2" t="s">
        <v>202</v>
      </c>
      <c r="F79" s="1" t="s">
        <v>203</v>
      </c>
      <c r="O79" s="22">
        <v>0</v>
      </c>
      <c r="P79" s="22">
        <v>0</v>
      </c>
      <c r="Q79" s="22">
        <v>8</v>
      </c>
      <c r="R79" s="12" t="s">
        <v>567</v>
      </c>
      <c r="S79" s="135">
        <v>0.05</v>
      </c>
      <c r="T79" s="2" t="s">
        <v>629</v>
      </c>
      <c r="U79" s="12" t="s">
        <v>572</v>
      </c>
      <c r="V79" s="109">
        <v>0.05</v>
      </c>
      <c r="W79" s="2" t="s">
        <v>627</v>
      </c>
      <c r="X79" s="12" t="s">
        <v>572</v>
      </c>
      <c r="Y79" s="9" t="str">
        <f t="shared" ref="Y79:Y110" si="4">IF(G79="","Yes","No")</f>
        <v>Yes</v>
      </c>
      <c r="Z79" s="22">
        <v>1420</v>
      </c>
      <c r="AA79" s="22">
        <v>4300</v>
      </c>
      <c r="AB79" s="22">
        <v>860</v>
      </c>
      <c r="AC79" s="78">
        <f t="shared" si="3"/>
        <v>-560</v>
      </c>
    </row>
    <row r="80" spans="1:30">
      <c r="A80" s="5" t="s">
        <v>204</v>
      </c>
      <c r="B80" s="9" t="s">
        <v>189</v>
      </c>
      <c r="D80" s="2" t="s">
        <v>205</v>
      </c>
      <c r="E80" s="2" t="s">
        <v>75</v>
      </c>
      <c r="F80" s="1" t="s">
        <v>206</v>
      </c>
      <c r="O80" s="22">
        <v>0</v>
      </c>
      <c r="P80" s="22">
        <v>0</v>
      </c>
      <c r="Q80" s="22">
        <v>8</v>
      </c>
      <c r="R80" s="12" t="s">
        <v>570</v>
      </c>
      <c r="S80" s="135">
        <v>0.08</v>
      </c>
      <c r="T80" s="2" t="s">
        <v>629</v>
      </c>
      <c r="U80" s="12" t="s">
        <v>571</v>
      </c>
      <c r="Y80" s="9" t="str">
        <f t="shared" si="4"/>
        <v>Yes</v>
      </c>
      <c r="Z80" s="22">
        <v>1320</v>
      </c>
      <c r="AA80" s="22">
        <v>4180</v>
      </c>
      <c r="AB80" s="22">
        <v>836</v>
      </c>
      <c r="AC80" s="78">
        <f t="shared" si="3"/>
        <v>-484</v>
      </c>
    </row>
    <row r="81" spans="1:30" s="20" customFormat="1">
      <c r="A81" s="27" t="s">
        <v>207</v>
      </c>
      <c r="B81" s="20" t="s">
        <v>189</v>
      </c>
      <c r="D81" s="35" t="s">
        <v>208</v>
      </c>
      <c r="E81" s="35" t="s">
        <v>209</v>
      </c>
      <c r="F81" s="26" t="s">
        <v>72</v>
      </c>
      <c r="N81" s="26"/>
      <c r="O81" s="33">
        <v>0</v>
      </c>
      <c r="P81" s="33">
        <v>0</v>
      </c>
      <c r="Q81" s="33">
        <v>8</v>
      </c>
      <c r="R81" s="37" t="s">
        <v>565</v>
      </c>
      <c r="S81" s="136">
        <v>0.08</v>
      </c>
      <c r="T81" s="35" t="s">
        <v>629</v>
      </c>
      <c r="U81" s="37" t="s">
        <v>566</v>
      </c>
      <c r="V81" s="134"/>
      <c r="X81" s="26"/>
      <c r="Y81" s="20" t="str">
        <f t="shared" si="4"/>
        <v>Yes</v>
      </c>
      <c r="Z81" s="33">
        <v>1320</v>
      </c>
      <c r="AA81" s="33">
        <v>4940</v>
      </c>
      <c r="AB81" s="33">
        <v>988</v>
      </c>
      <c r="AC81" s="112">
        <f t="shared" si="3"/>
        <v>-332</v>
      </c>
      <c r="AD81" s="33"/>
    </row>
    <row r="82" spans="1:30">
      <c r="A82" s="4" t="s">
        <v>210</v>
      </c>
      <c r="B82" s="9" t="s">
        <v>211</v>
      </c>
      <c r="D82" s="9" t="s">
        <v>212</v>
      </c>
      <c r="E82" s="9" t="s">
        <v>81</v>
      </c>
      <c r="F82" s="1" t="s">
        <v>213</v>
      </c>
      <c r="O82" s="22">
        <v>0</v>
      </c>
      <c r="P82" s="22">
        <v>3</v>
      </c>
      <c r="Q82" s="22">
        <v>0</v>
      </c>
      <c r="R82" s="1" t="s">
        <v>565</v>
      </c>
      <c r="S82" s="133">
        <v>0.03</v>
      </c>
      <c r="T82" s="2" t="s">
        <v>624</v>
      </c>
      <c r="U82" s="1" t="s">
        <v>566</v>
      </c>
      <c r="Y82" s="9" t="str">
        <f t="shared" si="4"/>
        <v>Yes</v>
      </c>
      <c r="Z82" s="22">
        <v>380</v>
      </c>
      <c r="AA82" s="22">
        <v>940</v>
      </c>
      <c r="AB82" s="22">
        <v>188</v>
      </c>
      <c r="AC82" s="78">
        <f t="shared" si="3"/>
        <v>-192</v>
      </c>
    </row>
    <row r="83" spans="1:30">
      <c r="A83" s="4" t="s">
        <v>214</v>
      </c>
      <c r="B83" s="2" t="s">
        <v>211</v>
      </c>
      <c r="D83" s="2" t="s">
        <v>215</v>
      </c>
      <c r="E83" s="2" t="s">
        <v>81</v>
      </c>
      <c r="F83" s="1" t="s">
        <v>213</v>
      </c>
      <c r="G83" s="17" t="s">
        <v>246</v>
      </c>
      <c r="O83" s="22">
        <v>0</v>
      </c>
      <c r="P83" s="22">
        <v>3</v>
      </c>
      <c r="Q83" s="22">
        <v>0</v>
      </c>
      <c r="R83" s="12" t="s">
        <v>565</v>
      </c>
      <c r="S83" s="135">
        <v>0.03</v>
      </c>
      <c r="T83" s="2" t="s">
        <v>625</v>
      </c>
      <c r="U83" s="12" t="s">
        <v>566</v>
      </c>
      <c r="Y83" s="9" t="str">
        <f t="shared" si="4"/>
        <v>No</v>
      </c>
      <c r="Z83" s="22">
        <v>380</v>
      </c>
      <c r="AA83" s="22">
        <v>940</v>
      </c>
      <c r="AB83" s="22">
        <v>188</v>
      </c>
      <c r="AC83" s="78">
        <f t="shared" si="3"/>
        <v>-192</v>
      </c>
    </row>
    <row r="84" spans="1:30">
      <c r="A84" s="4" t="s">
        <v>216</v>
      </c>
      <c r="B84" s="2" t="s">
        <v>211</v>
      </c>
      <c r="D84" s="2" t="s">
        <v>217</v>
      </c>
      <c r="E84" s="2" t="s">
        <v>218</v>
      </c>
      <c r="G84" s="17" t="s">
        <v>229</v>
      </c>
      <c r="O84" s="22">
        <v>0</v>
      </c>
      <c r="P84" s="22">
        <v>3</v>
      </c>
      <c r="Q84" s="22">
        <v>0</v>
      </c>
      <c r="R84" s="12" t="s">
        <v>565</v>
      </c>
      <c r="S84" s="135">
        <v>0.03</v>
      </c>
      <c r="T84" s="2" t="s">
        <v>628</v>
      </c>
      <c r="U84" s="12" t="s">
        <v>566</v>
      </c>
      <c r="Y84" s="9" t="str">
        <f t="shared" si="4"/>
        <v>No</v>
      </c>
      <c r="Z84" s="22">
        <v>320</v>
      </c>
      <c r="AA84" s="22">
        <v>940</v>
      </c>
      <c r="AB84" s="22">
        <v>188</v>
      </c>
      <c r="AC84" s="78">
        <f t="shared" si="3"/>
        <v>-132</v>
      </c>
    </row>
    <row r="85" spans="1:30">
      <c r="A85" s="4" t="s">
        <v>221</v>
      </c>
      <c r="B85" s="2" t="s">
        <v>211</v>
      </c>
      <c r="D85" s="2" t="s">
        <v>222</v>
      </c>
      <c r="E85" s="2" t="s">
        <v>223</v>
      </c>
      <c r="F85" s="1" t="s">
        <v>218</v>
      </c>
      <c r="G85" s="17" t="s">
        <v>320</v>
      </c>
      <c r="H85" s="17" t="s">
        <v>503</v>
      </c>
      <c r="O85" s="22">
        <v>0</v>
      </c>
      <c r="P85" s="22">
        <v>3</v>
      </c>
      <c r="Q85" s="22">
        <v>0</v>
      </c>
      <c r="R85" s="12" t="s">
        <v>570</v>
      </c>
      <c r="S85" s="135">
        <v>0.03</v>
      </c>
      <c r="T85" s="2" t="s">
        <v>624</v>
      </c>
      <c r="U85" s="12" t="s">
        <v>571</v>
      </c>
      <c r="Y85" s="9" t="str">
        <f t="shared" si="4"/>
        <v>No</v>
      </c>
      <c r="Z85" s="22">
        <v>380</v>
      </c>
      <c r="AA85" s="22">
        <v>740</v>
      </c>
      <c r="AB85" s="22">
        <v>148</v>
      </c>
      <c r="AC85" s="78">
        <f t="shared" si="3"/>
        <v>-232</v>
      </c>
    </row>
    <row r="86" spans="1:30">
      <c r="A86" s="4" t="s">
        <v>224</v>
      </c>
      <c r="B86" s="2" t="s">
        <v>211</v>
      </c>
      <c r="D86" s="2" t="s">
        <v>225</v>
      </c>
      <c r="E86" s="2" t="s">
        <v>223</v>
      </c>
      <c r="F86" s="1" t="s">
        <v>218</v>
      </c>
      <c r="G86" s="17" t="s">
        <v>428</v>
      </c>
      <c r="O86" s="22">
        <v>0</v>
      </c>
      <c r="P86" s="22">
        <v>3</v>
      </c>
      <c r="Q86" s="22">
        <v>0</v>
      </c>
      <c r="R86" s="12" t="s">
        <v>570</v>
      </c>
      <c r="S86" s="135">
        <v>0.03</v>
      </c>
      <c r="T86" s="2" t="s">
        <v>625</v>
      </c>
      <c r="U86" s="12" t="s">
        <v>571</v>
      </c>
      <c r="Y86" s="9" t="str">
        <f t="shared" si="4"/>
        <v>No</v>
      </c>
      <c r="Z86" s="22">
        <v>380</v>
      </c>
      <c r="AA86" s="22">
        <v>740</v>
      </c>
      <c r="AB86" s="22">
        <v>148</v>
      </c>
      <c r="AC86" s="78">
        <f t="shared" si="3"/>
        <v>-232</v>
      </c>
    </row>
    <row r="87" spans="1:30">
      <c r="A87" s="4" t="s">
        <v>227</v>
      </c>
      <c r="B87" s="2" t="s">
        <v>211</v>
      </c>
      <c r="D87" s="2" t="s">
        <v>228</v>
      </c>
      <c r="E87" s="2" t="s">
        <v>223</v>
      </c>
      <c r="F87" s="1" t="s">
        <v>218</v>
      </c>
      <c r="G87" s="17" t="s">
        <v>96</v>
      </c>
      <c r="H87" s="17" t="s">
        <v>431</v>
      </c>
      <c r="O87" s="22">
        <v>0</v>
      </c>
      <c r="P87" s="22">
        <v>3</v>
      </c>
      <c r="Q87" s="22">
        <v>0</v>
      </c>
      <c r="R87" s="12" t="s">
        <v>570</v>
      </c>
      <c r="S87" s="135">
        <v>0.03</v>
      </c>
      <c r="T87" s="2" t="s">
        <v>628</v>
      </c>
      <c r="U87" s="12" t="s">
        <v>571</v>
      </c>
      <c r="Y87" s="9" t="str">
        <f t="shared" si="4"/>
        <v>No</v>
      </c>
      <c r="Z87" s="22">
        <v>380</v>
      </c>
      <c r="AA87" s="22">
        <v>740</v>
      </c>
      <c r="AB87" s="22">
        <v>148</v>
      </c>
      <c r="AC87" s="78">
        <f t="shared" si="3"/>
        <v>-232</v>
      </c>
    </row>
    <row r="88" spans="1:30">
      <c r="A88" s="5" t="s">
        <v>229</v>
      </c>
      <c r="B88" s="2" t="s">
        <v>211</v>
      </c>
      <c r="D88" s="2" t="s">
        <v>230</v>
      </c>
      <c r="E88" s="2" t="s">
        <v>115</v>
      </c>
      <c r="F88" s="1" t="s">
        <v>98</v>
      </c>
      <c r="O88" s="22">
        <v>0</v>
      </c>
      <c r="P88" s="22">
        <v>8</v>
      </c>
      <c r="Q88" s="22">
        <v>0</v>
      </c>
      <c r="R88" s="12" t="s">
        <v>565</v>
      </c>
      <c r="S88" s="135">
        <v>0.08</v>
      </c>
      <c r="T88" s="2" t="s">
        <v>628</v>
      </c>
      <c r="U88" s="12" t="s">
        <v>566</v>
      </c>
      <c r="Y88" s="9" t="str">
        <f t="shared" si="4"/>
        <v>Yes</v>
      </c>
      <c r="Z88" s="22">
        <v>1440</v>
      </c>
      <c r="AA88" s="22">
        <v>4940</v>
      </c>
      <c r="AB88" s="22">
        <v>988</v>
      </c>
      <c r="AC88" s="78">
        <f t="shared" si="3"/>
        <v>-452</v>
      </c>
    </row>
    <row r="89" spans="1:30" s="20" customFormat="1">
      <c r="A89" s="27" t="s">
        <v>231</v>
      </c>
      <c r="B89" s="35" t="s">
        <v>211</v>
      </c>
      <c r="D89" s="35" t="s">
        <v>232</v>
      </c>
      <c r="E89" s="35" t="s">
        <v>95</v>
      </c>
      <c r="F89" s="26" t="s">
        <v>233</v>
      </c>
      <c r="N89" s="26"/>
      <c r="O89" s="33">
        <v>0</v>
      </c>
      <c r="P89" s="33">
        <v>18</v>
      </c>
      <c r="Q89" s="33">
        <v>0</v>
      </c>
      <c r="R89" s="37" t="s">
        <v>565</v>
      </c>
      <c r="S89" s="134"/>
      <c r="U89" s="26"/>
      <c r="V89" s="134"/>
      <c r="X89" s="26"/>
      <c r="Y89" s="20" t="str">
        <f t="shared" si="4"/>
        <v>Yes</v>
      </c>
      <c r="Z89" s="33">
        <v>1160</v>
      </c>
      <c r="AA89" s="33">
        <v>9750</v>
      </c>
      <c r="AB89" s="33">
        <v>1950</v>
      </c>
      <c r="AC89" s="112">
        <f t="shared" si="3"/>
        <v>790</v>
      </c>
      <c r="AD89" s="33"/>
    </row>
    <row r="90" spans="1:30">
      <c r="A90" s="3" t="s">
        <v>235</v>
      </c>
      <c r="B90" s="2" t="s">
        <v>234</v>
      </c>
      <c r="D90" s="9" t="s">
        <v>160</v>
      </c>
      <c r="E90" s="9" t="s">
        <v>236</v>
      </c>
      <c r="F90" s="1" t="s">
        <v>139</v>
      </c>
      <c r="G90" s="25" t="s">
        <v>237</v>
      </c>
      <c r="O90" s="22">
        <v>1</v>
      </c>
      <c r="P90" s="22">
        <v>1</v>
      </c>
      <c r="Q90" s="22">
        <v>0</v>
      </c>
      <c r="R90" s="1" t="s">
        <v>567</v>
      </c>
      <c r="S90" s="133">
        <v>0.02</v>
      </c>
      <c r="T90" s="2" t="s">
        <v>622</v>
      </c>
      <c r="U90" s="1" t="s">
        <v>572</v>
      </c>
      <c r="Y90" s="9" t="str">
        <f t="shared" si="4"/>
        <v>No</v>
      </c>
      <c r="Z90" s="22">
        <v>60</v>
      </c>
      <c r="AA90" s="22">
        <v>450</v>
      </c>
      <c r="AB90" s="22">
        <v>90</v>
      </c>
      <c r="AC90" s="78">
        <f t="shared" si="3"/>
        <v>30</v>
      </c>
    </row>
    <row r="91" spans="1:30">
      <c r="A91" s="5" t="s">
        <v>237</v>
      </c>
      <c r="B91" s="2" t="s">
        <v>234</v>
      </c>
      <c r="D91" s="2" t="s">
        <v>238</v>
      </c>
      <c r="E91" s="2" t="s">
        <v>239</v>
      </c>
      <c r="O91" s="22">
        <v>8</v>
      </c>
      <c r="P91" s="22">
        <v>8</v>
      </c>
      <c r="Q91" s="22">
        <v>0</v>
      </c>
      <c r="R91" s="12" t="s">
        <v>567</v>
      </c>
      <c r="S91" s="135">
        <v>0.08</v>
      </c>
      <c r="T91" s="2" t="s">
        <v>623</v>
      </c>
      <c r="U91" s="12" t="s">
        <v>572</v>
      </c>
      <c r="V91" s="109">
        <v>0.08</v>
      </c>
      <c r="W91" s="2" t="s">
        <v>628</v>
      </c>
      <c r="X91" s="1" t="s">
        <v>572</v>
      </c>
      <c r="Y91" s="9" t="str">
        <f t="shared" si="4"/>
        <v>Yes</v>
      </c>
      <c r="Z91" s="22">
        <v>1210</v>
      </c>
      <c r="AA91" s="22">
        <v>6050</v>
      </c>
      <c r="AB91" s="22">
        <v>1210</v>
      </c>
      <c r="AC91" s="78">
        <f t="shared" si="3"/>
        <v>0</v>
      </c>
    </row>
    <row r="92" spans="1:30">
      <c r="A92" s="5" t="s">
        <v>240</v>
      </c>
      <c r="B92" s="2" t="s">
        <v>234</v>
      </c>
      <c r="D92" s="2" t="s">
        <v>241</v>
      </c>
      <c r="E92" s="2" t="s">
        <v>242</v>
      </c>
      <c r="F92" s="1" t="s">
        <v>243</v>
      </c>
      <c r="O92" s="22">
        <v>15</v>
      </c>
      <c r="P92" s="22">
        <v>0</v>
      </c>
      <c r="Q92" s="22">
        <v>0</v>
      </c>
      <c r="R92" s="12" t="s">
        <v>565</v>
      </c>
      <c r="Y92" s="9" t="str">
        <f t="shared" si="4"/>
        <v>Yes</v>
      </c>
      <c r="Z92" s="22">
        <v>1330</v>
      </c>
      <c r="AA92" s="22">
        <v>9750</v>
      </c>
      <c r="AB92" s="22">
        <v>1950</v>
      </c>
      <c r="AC92" s="78">
        <f t="shared" si="3"/>
        <v>620</v>
      </c>
    </row>
    <row r="93" spans="1:30">
      <c r="A93" s="5" t="s">
        <v>244</v>
      </c>
      <c r="B93" s="2" t="s">
        <v>234</v>
      </c>
      <c r="D93" s="2" t="s">
        <v>60</v>
      </c>
      <c r="E93" s="2" t="s">
        <v>245</v>
      </c>
      <c r="F93" s="1" t="s">
        <v>91</v>
      </c>
      <c r="G93" s="66" t="s">
        <v>249</v>
      </c>
      <c r="O93" s="22">
        <v>0</v>
      </c>
      <c r="P93" s="22">
        <v>0</v>
      </c>
      <c r="Q93" s="22">
        <v>10</v>
      </c>
      <c r="R93" s="12" t="s">
        <v>570</v>
      </c>
      <c r="S93" s="133">
        <v>0.06</v>
      </c>
      <c r="T93" s="2" t="s">
        <v>627</v>
      </c>
      <c r="U93" s="1" t="s">
        <v>571</v>
      </c>
      <c r="Y93" s="9" t="str">
        <f t="shared" si="4"/>
        <v>No</v>
      </c>
      <c r="Z93" s="22">
        <v>970</v>
      </c>
      <c r="AA93" s="22">
        <v>6325</v>
      </c>
      <c r="AB93" s="22">
        <v>1265</v>
      </c>
      <c r="AC93" s="78">
        <f t="shared" si="3"/>
        <v>295</v>
      </c>
    </row>
    <row r="94" spans="1:30">
      <c r="A94" s="5" t="s">
        <v>246</v>
      </c>
      <c r="B94" s="2" t="s">
        <v>234</v>
      </c>
      <c r="D94" s="2" t="s">
        <v>247</v>
      </c>
      <c r="E94" s="2" t="s">
        <v>248</v>
      </c>
      <c r="F94" s="1" t="s">
        <v>68</v>
      </c>
      <c r="G94" s="66" t="s">
        <v>252</v>
      </c>
      <c r="O94" s="22">
        <v>0</v>
      </c>
      <c r="P94" s="22">
        <v>10</v>
      </c>
      <c r="Q94" s="22">
        <v>0</v>
      </c>
      <c r="R94" s="12" t="s">
        <v>565</v>
      </c>
      <c r="S94" s="133">
        <v>0.06</v>
      </c>
      <c r="T94" s="2" t="s">
        <v>625</v>
      </c>
      <c r="U94" s="1" t="s">
        <v>566</v>
      </c>
      <c r="Y94" s="9" t="str">
        <f t="shared" si="4"/>
        <v>No</v>
      </c>
      <c r="Z94" s="22">
        <v>1210</v>
      </c>
      <c r="AA94" s="22">
        <v>7475</v>
      </c>
      <c r="AB94" s="22">
        <v>1495</v>
      </c>
      <c r="AC94" s="78">
        <f t="shared" si="3"/>
        <v>285</v>
      </c>
    </row>
    <row r="95" spans="1:30">
      <c r="A95" s="6" t="s">
        <v>249</v>
      </c>
      <c r="B95" s="2" t="s">
        <v>234</v>
      </c>
      <c r="D95" s="2" t="s">
        <v>250</v>
      </c>
      <c r="E95" s="2" t="s">
        <v>251</v>
      </c>
      <c r="F95" s="1" t="s">
        <v>94</v>
      </c>
      <c r="O95" s="22">
        <v>0</v>
      </c>
      <c r="P95" s="22">
        <v>0</v>
      </c>
      <c r="Q95" s="22">
        <v>20</v>
      </c>
      <c r="R95" s="12" t="s">
        <v>570</v>
      </c>
      <c r="S95" s="133">
        <v>0.1</v>
      </c>
      <c r="T95" s="2" t="s">
        <v>627</v>
      </c>
      <c r="U95" s="1" t="s">
        <v>571</v>
      </c>
      <c r="Y95" s="9" t="str">
        <f t="shared" si="4"/>
        <v>Yes</v>
      </c>
      <c r="Z95" s="22">
        <v>5410</v>
      </c>
      <c r="AA95" s="22">
        <v>11250</v>
      </c>
      <c r="AB95" s="22">
        <v>2250</v>
      </c>
      <c r="AC95" s="78">
        <f t="shared" si="3"/>
        <v>-3160</v>
      </c>
    </row>
    <row r="96" spans="1:30">
      <c r="A96" s="6" t="s">
        <v>252</v>
      </c>
      <c r="B96" s="2" t="s">
        <v>234</v>
      </c>
      <c r="D96" s="2" t="s">
        <v>253</v>
      </c>
      <c r="E96" s="2" t="s">
        <v>254</v>
      </c>
      <c r="F96" s="1" t="s">
        <v>255</v>
      </c>
      <c r="O96" s="22">
        <v>0</v>
      </c>
      <c r="P96" s="22">
        <v>20</v>
      </c>
      <c r="Q96" s="22">
        <v>0</v>
      </c>
      <c r="R96" s="12" t="s">
        <v>565</v>
      </c>
      <c r="S96" s="133">
        <v>0.1</v>
      </c>
      <c r="T96" s="2" t="s">
        <v>625</v>
      </c>
      <c r="U96" s="1" t="s">
        <v>566</v>
      </c>
      <c r="Y96" s="9" t="str">
        <f t="shared" si="4"/>
        <v>Yes</v>
      </c>
      <c r="Z96" s="22">
        <v>6130</v>
      </c>
      <c r="AA96" s="22">
        <v>13500</v>
      </c>
      <c r="AB96" s="22">
        <v>2700</v>
      </c>
      <c r="AC96" s="78">
        <f t="shared" si="3"/>
        <v>-3430</v>
      </c>
    </row>
    <row r="97" spans="1:30" s="20" customFormat="1">
      <c r="A97" s="36" t="s">
        <v>1097</v>
      </c>
      <c r="B97" s="35" t="s">
        <v>234</v>
      </c>
      <c r="D97" s="35" t="s">
        <v>257</v>
      </c>
      <c r="E97" s="35" t="s">
        <v>258</v>
      </c>
      <c r="F97" s="26" t="s">
        <v>259</v>
      </c>
      <c r="N97" s="26"/>
      <c r="O97" s="33">
        <v>33</v>
      </c>
      <c r="P97" s="33">
        <v>33</v>
      </c>
      <c r="Q97" s="33">
        <v>33</v>
      </c>
      <c r="R97" s="26" t="s">
        <v>567</v>
      </c>
      <c r="S97" s="137">
        <v>7.0000000000000007E-2</v>
      </c>
      <c r="T97" s="20" t="s">
        <v>1093</v>
      </c>
      <c r="U97" s="26" t="s">
        <v>1024</v>
      </c>
      <c r="V97" s="134">
        <v>7.0000000000000007E-2</v>
      </c>
      <c r="W97" s="35" t="s">
        <v>1094</v>
      </c>
      <c r="X97" s="26" t="s">
        <v>1024</v>
      </c>
      <c r="Y97" s="20" t="str">
        <f t="shared" si="4"/>
        <v>Yes</v>
      </c>
      <c r="Z97" s="33">
        <v>42058</v>
      </c>
      <c r="AA97" s="33" t="s">
        <v>993</v>
      </c>
      <c r="AB97" s="33" t="s">
        <v>993</v>
      </c>
      <c r="AC97" s="112" t="s">
        <v>993</v>
      </c>
      <c r="AD97" s="33"/>
    </row>
    <row r="98" spans="1:30">
      <c r="A98" s="3" t="s">
        <v>261</v>
      </c>
      <c r="B98" s="9" t="s">
        <v>260</v>
      </c>
      <c r="D98" s="9" t="s">
        <v>34</v>
      </c>
      <c r="E98" s="9" t="s">
        <v>139</v>
      </c>
      <c r="F98" s="1" t="s">
        <v>108</v>
      </c>
      <c r="G98" s="24" t="s">
        <v>262</v>
      </c>
      <c r="O98" s="22">
        <v>0</v>
      </c>
      <c r="P98" s="22">
        <v>1</v>
      </c>
      <c r="Q98" s="22">
        <v>1</v>
      </c>
      <c r="R98" s="1" t="s">
        <v>567</v>
      </c>
      <c r="S98" s="133">
        <v>0.02</v>
      </c>
      <c r="T98" s="2" t="s">
        <v>628</v>
      </c>
      <c r="U98" s="1" t="s">
        <v>572</v>
      </c>
      <c r="Y98" s="9" t="str">
        <f t="shared" si="4"/>
        <v>No</v>
      </c>
      <c r="Z98" s="22">
        <v>60</v>
      </c>
      <c r="AA98" s="22">
        <v>700</v>
      </c>
      <c r="AB98" s="22">
        <v>140</v>
      </c>
      <c r="AC98" s="78">
        <f t="shared" si="3"/>
        <v>80</v>
      </c>
    </row>
    <row r="99" spans="1:30">
      <c r="A99" s="4" t="s">
        <v>262</v>
      </c>
      <c r="B99" s="2" t="s">
        <v>260</v>
      </c>
      <c r="D99" s="2" t="s">
        <v>263</v>
      </c>
      <c r="E99" s="2" t="s">
        <v>264</v>
      </c>
      <c r="F99" s="1" t="s">
        <v>265</v>
      </c>
      <c r="G99" s="17" t="s">
        <v>276</v>
      </c>
      <c r="O99" s="22">
        <v>0</v>
      </c>
      <c r="P99" s="22">
        <v>1</v>
      </c>
      <c r="Q99" s="22">
        <v>1</v>
      </c>
      <c r="R99" s="12" t="s">
        <v>567</v>
      </c>
      <c r="S99" s="135">
        <v>0.02</v>
      </c>
      <c r="T99" s="2" t="s">
        <v>625</v>
      </c>
      <c r="U99" s="12" t="s">
        <v>572</v>
      </c>
      <c r="V99" s="109">
        <v>0.02</v>
      </c>
      <c r="W99" s="2" t="s">
        <v>629</v>
      </c>
      <c r="X99" s="1" t="s">
        <v>572</v>
      </c>
      <c r="Y99" s="9" t="str">
        <f t="shared" si="4"/>
        <v>No</v>
      </c>
      <c r="Z99" s="22">
        <v>320</v>
      </c>
      <c r="AA99" s="22">
        <v>1200</v>
      </c>
      <c r="AB99" s="22">
        <v>240</v>
      </c>
      <c r="AC99" s="78">
        <f t="shared" si="3"/>
        <v>-80</v>
      </c>
    </row>
    <row r="100" spans="1:30">
      <c r="A100" s="5" t="s">
        <v>266</v>
      </c>
      <c r="B100" s="2" t="s">
        <v>260</v>
      </c>
      <c r="D100" s="2" t="s">
        <v>43</v>
      </c>
      <c r="E100" s="2" t="s">
        <v>267</v>
      </c>
      <c r="F100" s="1" t="s">
        <v>268</v>
      </c>
      <c r="G100" s="66" t="s">
        <v>279</v>
      </c>
      <c r="O100" s="22">
        <v>10</v>
      </c>
      <c r="P100" s="22">
        <v>0</v>
      </c>
      <c r="Q100" s="22">
        <v>0</v>
      </c>
      <c r="R100" s="12" t="s">
        <v>565</v>
      </c>
      <c r="S100" s="135">
        <v>0.06</v>
      </c>
      <c r="T100" s="2" t="s">
        <v>621</v>
      </c>
      <c r="U100" s="12" t="s">
        <v>566</v>
      </c>
      <c r="Y100" s="9" t="str">
        <f t="shared" si="4"/>
        <v>No</v>
      </c>
      <c r="Z100" s="22">
        <v>1090</v>
      </c>
      <c r="AA100" s="22">
        <v>7475</v>
      </c>
      <c r="AB100" s="22">
        <v>1495</v>
      </c>
      <c r="AC100" s="78">
        <f t="shared" si="3"/>
        <v>405</v>
      </c>
    </row>
    <row r="101" spans="1:30">
      <c r="A101" s="5" t="s">
        <v>269</v>
      </c>
      <c r="B101" s="2" t="s">
        <v>260</v>
      </c>
      <c r="D101" s="2" t="s">
        <v>270</v>
      </c>
      <c r="E101" s="2" t="s">
        <v>271</v>
      </c>
      <c r="F101" s="1" t="s">
        <v>53</v>
      </c>
      <c r="O101" s="22">
        <v>0</v>
      </c>
      <c r="P101" s="22">
        <v>0</v>
      </c>
      <c r="Q101" s="22">
        <v>10</v>
      </c>
      <c r="R101" s="12" t="s">
        <v>570</v>
      </c>
      <c r="S101" s="135">
        <v>0.06</v>
      </c>
      <c r="T101" s="2" t="s">
        <v>626</v>
      </c>
      <c r="U101" s="12" t="s">
        <v>571</v>
      </c>
      <c r="Y101" s="9" t="str">
        <f t="shared" si="4"/>
        <v>Yes</v>
      </c>
      <c r="Z101" s="22">
        <v>970</v>
      </c>
      <c r="AA101" s="22">
        <v>6325</v>
      </c>
      <c r="AB101" s="22">
        <v>1265</v>
      </c>
      <c r="AC101" s="78">
        <f t="shared" si="3"/>
        <v>295</v>
      </c>
    </row>
    <row r="102" spans="1:30">
      <c r="A102" s="5" t="s">
        <v>272</v>
      </c>
      <c r="B102" s="2" t="s">
        <v>260</v>
      </c>
      <c r="D102" s="2" t="s">
        <v>273</v>
      </c>
      <c r="E102" s="2" t="s">
        <v>274</v>
      </c>
      <c r="F102" s="1" t="s">
        <v>275</v>
      </c>
      <c r="O102" s="22">
        <v>0</v>
      </c>
      <c r="P102" s="22">
        <v>15</v>
      </c>
      <c r="Q102" s="22">
        <v>0</v>
      </c>
      <c r="R102" s="12" t="s">
        <v>570</v>
      </c>
      <c r="S102" s="135"/>
      <c r="T102" s="2"/>
      <c r="Y102" s="9" t="str">
        <f t="shared" si="4"/>
        <v>Yes</v>
      </c>
      <c r="Z102" s="22">
        <v>870</v>
      </c>
      <c r="AA102" s="22">
        <v>8250</v>
      </c>
      <c r="AB102" s="22">
        <v>1650</v>
      </c>
      <c r="AC102" s="78">
        <f t="shared" si="3"/>
        <v>780</v>
      </c>
    </row>
    <row r="103" spans="1:30">
      <c r="A103" s="5" t="s">
        <v>276</v>
      </c>
      <c r="B103" s="2" t="s">
        <v>260</v>
      </c>
      <c r="D103" s="2" t="s">
        <v>277</v>
      </c>
      <c r="E103" s="2" t="s">
        <v>166</v>
      </c>
      <c r="F103" s="1" t="s">
        <v>278</v>
      </c>
      <c r="O103" s="22">
        <v>0</v>
      </c>
      <c r="P103" s="22">
        <v>8</v>
      </c>
      <c r="Q103" s="22">
        <v>8</v>
      </c>
      <c r="R103" s="12" t="s">
        <v>567</v>
      </c>
      <c r="S103" s="135">
        <v>0.08</v>
      </c>
      <c r="T103" s="2" t="s">
        <v>625</v>
      </c>
      <c r="U103" s="1" t="s">
        <v>572</v>
      </c>
      <c r="V103" s="109">
        <v>0.08</v>
      </c>
      <c r="W103" s="14" t="s">
        <v>629</v>
      </c>
      <c r="X103" s="1" t="s">
        <v>572</v>
      </c>
      <c r="Y103" s="9" t="str">
        <f t="shared" si="4"/>
        <v>Yes</v>
      </c>
      <c r="Z103" s="22">
        <v>1440</v>
      </c>
      <c r="AA103" s="22">
        <v>12000</v>
      </c>
      <c r="AB103" s="22">
        <v>2400</v>
      </c>
      <c r="AC103" s="78">
        <f t="shared" si="3"/>
        <v>960</v>
      </c>
    </row>
    <row r="104" spans="1:30">
      <c r="A104" s="6" t="s">
        <v>279</v>
      </c>
      <c r="B104" s="2" t="s">
        <v>260</v>
      </c>
      <c r="D104" s="2" t="s">
        <v>280</v>
      </c>
      <c r="E104" s="2" t="s">
        <v>281</v>
      </c>
      <c r="F104" s="1" t="s">
        <v>115</v>
      </c>
      <c r="O104" s="22">
        <v>20</v>
      </c>
      <c r="P104" s="22">
        <v>0</v>
      </c>
      <c r="Q104" s="22">
        <v>0</v>
      </c>
      <c r="R104" s="12" t="s">
        <v>565</v>
      </c>
      <c r="S104" s="135">
        <v>0.1</v>
      </c>
      <c r="T104" s="2" t="s">
        <v>621</v>
      </c>
      <c r="U104" s="1" t="s">
        <v>566</v>
      </c>
      <c r="Y104" s="9" t="str">
        <f t="shared" si="4"/>
        <v>Yes</v>
      </c>
      <c r="Z104" s="22">
        <v>5770</v>
      </c>
      <c r="AA104" s="22">
        <v>13500</v>
      </c>
      <c r="AB104" s="22">
        <v>2700</v>
      </c>
      <c r="AC104" s="78">
        <f t="shared" si="3"/>
        <v>-3070</v>
      </c>
    </row>
    <row r="105" spans="1:30" s="20" customFormat="1">
      <c r="A105" s="27" t="s">
        <v>282</v>
      </c>
      <c r="B105" s="35" t="s">
        <v>260</v>
      </c>
      <c r="D105" s="35" t="s">
        <v>283</v>
      </c>
      <c r="E105" s="35" t="s">
        <v>284</v>
      </c>
      <c r="F105" s="26" t="s">
        <v>285</v>
      </c>
      <c r="G105" s="34" t="s">
        <v>346</v>
      </c>
      <c r="N105" s="26"/>
      <c r="O105" s="33">
        <v>10</v>
      </c>
      <c r="P105" s="33">
        <v>10</v>
      </c>
      <c r="Q105" s="33">
        <v>0</v>
      </c>
      <c r="R105" s="37" t="s">
        <v>567</v>
      </c>
      <c r="S105" s="134"/>
      <c r="U105" s="26"/>
      <c r="V105" s="134"/>
      <c r="X105" s="26"/>
      <c r="Y105" s="20" t="str">
        <f t="shared" si="4"/>
        <v>No</v>
      </c>
      <c r="Z105" s="33">
        <v>1025</v>
      </c>
      <c r="AA105" s="33">
        <v>10000</v>
      </c>
      <c r="AB105" s="33">
        <v>2000</v>
      </c>
      <c r="AC105" s="112">
        <f t="shared" si="3"/>
        <v>975</v>
      </c>
      <c r="AD105" s="33"/>
    </row>
    <row r="106" spans="1:30">
      <c r="A106" s="3" t="s">
        <v>287</v>
      </c>
      <c r="B106" s="2" t="s">
        <v>286</v>
      </c>
      <c r="D106" s="9" t="s">
        <v>34</v>
      </c>
      <c r="E106" s="9" t="s">
        <v>129</v>
      </c>
      <c r="F106" s="1" t="s">
        <v>223</v>
      </c>
      <c r="G106" s="25" t="s">
        <v>288</v>
      </c>
      <c r="H106" s="25" t="s">
        <v>299</v>
      </c>
      <c r="O106" s="22">
        <v>1</v>
      </c>
      <c r="P106" s="22">
        <v>1</v>
      </c>
      <c r="Q106" s="22">
        <v>0</v>
      </c>
      <c r="R106" s="1" t="s">
        <v>567</v>
      </c>
      <c r="S106" s="133">
        <v>0.02</v>
      </c>
      <c r="T106" s="2" t="s">
        <v>621</v>
      </c>
      <c r="U106" s="1" t="s">
        <v>572</v>
      </c>
      <c r="Y106" s="9" t="str">
        <f t="shared" si="4"/>
        <v>No</v>
      </c>
      <c r="Z106" s="22">
        <v>180</v>
      </c>
      <c r="AA106" s="22">
        <v>700</v>
      </c>
      <c r="AB106" s="22">
        <v>140</v>
      </c>
      <c r="AC106" s="78">
        <f t="shared" si="3"/>
        <v>-40</v>
      </c>
    </row>
    <row r="107" spans="1:30">
      <c r="A107" s="5" t="s">
        <v>288</v>
      </c>
      <c r="B107" s="2" t="s">
        <v>286</v>
      </c>
      <c r="D107" s="2" t="s">
        <v>289</v>
      </c>
      <c r="E107" s="2" t="s">
        <v>290</v>
      </c>
      <c r="F107" s="1" t="s">
        <v>291</v>
      </c>
      <c r="G107" s="17" t="s">
        <v>299</v>
      </c>
      <c r="O107" s="22">
        <v>8</v>
      </c>
      <c r="P107" s="22">
        <v>0</v>
      </c>
      <c r="Q107" s="22">
        <v>8</v>
      </c>
      <c r="R107" s="12" t="s">
        <v>567</v>
      </c>
      <c r="S107" s="135">
        <v>0.08</v>
      </c>
      <c r="T107" s="2" t="s">
        <v>626</v>
      </c>
      <c r="U107" s="12" t="s">
        <v>572</v>
      </c>
      <c r="Y107" s="9" t="str">
        <f t="shared" si="4"/>
        <v>No</v>
      </c>
      <c r="Z107" s="22">
        <v>990</v>
      </c>
      <c r="AA107" s="22">
        <v>8800</v>
      </c>
      <c r="AB107" s="22">
        <v>1760</v>
      </c>
      <c r="AC107" s="78">
        <f t="shared" si="3"/>
        <v>770</v>
      </c>
    </row>
    <row r="108" spans="1:30">
      <c r="A108" s="5" t="s">
        <v>292</v>
      </c>
      <c r="B108" s="2" t="s">
        <v>286</v>
      </c>
      <c r="D108" s="2" t="s">
        <v>293</v>
      </c>
      <c r="E108" s="2" t="s">
        <v>265</v>
      </c>
      <c r="F108" s="1" t="s">
        <v>294</v>
      </c>
      <c r="G108" s="66" t="s">
        <v>301</v>
      </c>
      <c r="O108" s="22">
        <v>10</v>
      </c>
      <c r="P108" s="22">
        <v>0</v>
      </c>
      <c r="Q108" s="22">
        <v>0</v>
      </c>
      <c r="R108" s="12" t="s">
        <v>570</v>
      </c>
      <c r="S108" s="135">
        <v>0.06</v>
      </c>
      <c r="T108" s="2" t="s">
        <v>622</v>
      </c>
      <c r="U108" s="12" t="s">
        <v>571</v>
      </c>
      <c r="Y108" s="9" t="str">
        <f t="shared" si="4"/>
        <v>No</v>
      </c>
      <c r="Z108" s="22">
        <v>1090</v>
      </c>
      <c r="AA108" s="22">
        <v>6325</v>
      </c>
      <c r="AB108" s="22">
        <v>1265</v>
      </c>
      <c r="AC108" s="78">
        <f t="shared" si="3"/>
        <v>175</v>
      </c>
    </row>
    <row r="109" spans="1:30">
      <c r="A109" s="5" t="s">
        <v>295</v>
      </c>
      <c r="B109" s="2" t="s">
        <v>286</v>
      </c>
      <c r="D109" s="2" t="s">
        <v>296</v>
      </c>
      <c r="E109" s="2" t="s">
        <v>194</v>
      </c>
      <c r="F109" s="1" t="s">
        <v>297</v>
      </c>
      <c r="O109" s="22">
        <v>0</v>
      </c>
      <c r="P109" s="22">
        <v>0</v>
      </c>
      <c r="Q109" s="22">
        <v>15</v>
      </c>
      <c r="R109" s="12" t="s">
        <v>565</v>
      </c>
      <c r="Y109" s="9" t="str">
        <f t="shared" si="4"/>
        <v>Yes</v>
      </c>
      <c r="Z109" s="22">
        <v>1150</v>
      </c>
      <c r="AA109" s="22">
        <v>9750</v>
      </c>
      <c r="AB109" s="22">
        <v>1950</v>
      </c>
      <c r="AC109" s="78">
        <f t="shared" si="3"/>
        <v>800</v>
      </c>
    </row>
    <row r="110" spans="1:30">
      <c r="A110" s="5" t="s">
        <v>299</v>
      </c>
      <c r="B110" s="2" t="s">
        <v>286</v>
      </c>
      <c r="D110" s="2" t="s">
        <v>300</v>
      </c>
      <c r="E110" s="2" t="s">
        <v>291</v>
      </c>
      <c r="F110" s="1" t="s">
        <v>239</v>
      </c>
      <c r="G110" s="66" t="s">
        <v>304</v>
      </c>
      <c r="O110" s="22">
        <v>9</v>
      </c>
      <c r="P110" s="22">
        <v>0</v>
      </c>
      <c r="Q110" s="22">
        <v>9</v>
      </c>
      <c r="R110" s="12" t="s">
        <v>567</v>
      </c>
      <c r="S110" s="133">
        <v>0.06</v>
      </c>
      <c r="T110" s="2" t="s">
        <v>622</v>
      </c>
      <c r="U110" s="1" t="s">
        <v>572</v>
      </c>
      <c r="V110" s="109">
        <v>0.06</v>
      </c>
      <c r="W110" s="9" t="s">
        <v>629</v>
      </c>
      <c r="X110" s="1" t="s">
        <v>572</v>
      </c>
      <c r="Y110" s="9" t="str">
        <f t="shared" si="4"/>
        <v>No</v>
      </c>
      <c r="Z110" s="22">
        <v>2620</v>
      </c>
      <c r="AA110" s="22">
        <v>12000</v>
      </c>
      <c r="AB110" s="22">
        <v>2400</v>
      </c>
      <c r="AC110" s="78">
        <f t="shared" si="3"/>
        <v>-220</v>
      </c>
    </row>
    <row r="111" spans="1:30">
      <c r="A111" s="6" t="s">
        <v>301</v>
      </c>
      <c r="B111" s="2" t="s">
        <v>286</v>
      </c>
      <c r="D111" s="2" t="s">
        <v>302</v>
      </c>
      <c r="E111" s="2" t="s">
        <v>303</v>
      </c>
      <c r="F111" s="1" t="s">
        <v>75</v>
      </c>
      <c r="O111" s="22">
        <v>20</v>
      </c>
      <c r="P111" s="22">
        <v>0</v>
      </c>
      <c r="Q111" s="22">
        <v>0</v>
      </c>
      <c r="R111" s="12" t="s">
        <v>570</v>
      </c>
      <c r="S111" s="135">
        <v>0.1</v>
      </c>
      <c r="T111" s="2" t="s">
        <v>622</v>
      </c>
      <c r="U111" s="1" t="s">
        <v>571</v>
      </c>
      <c r="Y111" s="9" t="str">
        <f t="shared" ref="Y111:Y158" si="5">IF(G111="","Yes","No")</f>
        <v>Yes</v>
      </c>
      <c r="Z111" s="22">
        <v>5770</v>
      </c>
      <c r="AA111" s="22">
        <v>11250</v>
      </c>
      <c r="AB111" s="22">
        <v>2250</v>
      </c>
      <c r="AC111" s="78">
        <f t="shared" si="3"/>
        <v>-3520</v>
      </c>
    </row>
    <row r="112" spans="1:30">
      <c r="A112" s="6" t="s">
        <v>304</v>
      </c>
      <c r="B112" s="2" t="s">
        <v>286</v>
      </c>
      <c r="D112" s="2" t="s">
        <v>305</v>
      </c>
      <c r="E112" s="2" t="s">
        <v>306</v>
      </c>
      <c r="F112" s="1" t="s">
        <v>307</v>
      </c>
      <c r="O112" s="22">
        <v>13</v>
      </c>
      <c r="P112" s="22">
        <v>0</v>
      </c>
      <c r="Q112" s="22">
        <v>13</v>
      </c>
      <c r="R112" s="12" t="s">
        <v>567</v>
      </c>
      <c r="S112" s="135">
        <v>0.1</v>
      </c>
      <c r="T112" s="2" t="s">
        <v>622</v>
      </c>
      <c r="U112" s="1" t="s">
        <v>572</v>
      </c>
      <c r="V112" s="109">
        <v>0.1</v>
      </c>
      <c r="W112" s="9" t="s">
        <v>629</v>
      </c>
      <c r="X112" s="1" t="s">
        <v>572</v>
      </c>
      <c r="Y112" s="9" t="str">
        <f t="shared" si="5"/>
        <v>Yes</v>
      </c>
      <c r="Z112" s="22">
        <v>10360</v>
      </c>
      <c r="AA112" s="22">
        <v>21000</v>
      </c>
      <c r="AB112" s="22">
        <v>4200</v>
      </c>
      <c r="AC112" s="78">
        <f t="shared" si="3"/>
        <v>-6160</v>
      </c>
    </row>
    <row r="113" spans="1:30" s="20" customFormat="1">
      <c r="A113" s="28" t="s">
        <v>308</v>
      </c>
      <c r="B113" s="35" t="s">
        <v>286</v>
      </c>
      <c r="D113" s="35" t="s">
        <v>309</v>
      </c>
      <c r="E113" s="35" t="s">
        <v>310</v>
      </c>
      <c r="F113" s="26" t="s">
        <v>311</v>
      </c>
      <c r="G113" s="67" t="s">
        <v>256</v>
      </c>
      <c r="N113" s="26"/>
      <c r="O113" s="33">
        <v>17</v>
      </c>
      <c r="P113" s="33">
        <v>17</v>
      </c>
      <c r="Q113" s="33">
        <v>17</v>
      </c>
      <c r="R113" s="37" t="s">
        <v>565</v>
      </c>
      <c r="S113" s="134"/>
      <c r="U113" s="26"/>
      <c r="V113" s="134"/>
      <c r="X113" s="26"/>
      <c r="Y113" s="20" t="str">
        <f t="shared" si="5"/>
        <v>No</v>
      </c>
      <c r="Z113" s="33">
        <v>18340</v>
      </c>
      <c r="AA113" s="33">
        <v>54600</v>
      </c>
      <c r="AB113" s="33">
        <v>10920</v>
      </c>
      <c r="AC113" s="112">
        <f t="shared" si="3"/>
        <v>-7420</v>
      </c>
      <c r="AD113" s="33"/>
    </row>
    <row r="114" spans="1:30">
      <c r="A114" s="4" t="s">
        <v>313</v>
      </c>
      <c r="B114" s="9" t="s">
        <v>312</v>
      </c>
      <c r="D114" s="9" t="s">
        <v>80</v>
      </c>
      <c r="E114" s="9" t="s">
        <v>267</v>
      </c>
      <c r="F114" s="1" t="s">
        <v>315</v>
      </c>
      <c r="O114" s="22">
        <v>0</v>
      </c>
      <c r="P114" s="22">
        <v>2</v>
      </c>
      <c r="Q114" s="22">
        <v>2</v>
      </c>
      <c r="R114" s="1" t="s">
        <v>567</v>
      </c>
      <c r="S114" s="133">
        <v>0.03</v>
      </c>
      <c r="T114" s="2" t="s">
        <v>628</v>
      </c>
      <c r="U114" s="1" t="s">
        <v>572</v>
      </c>
      <c r="Y114" s="9" t="str">
        <f t="shared" si="5"/>
        <v>Yes</v>
      </c>
      <c r="Z114" s="22">
        <v>260</v>
      </c>
      <c r="AA114" s="22">
        <v>1000</v>
      </c>
      <c r="AB114" s="22">
        <v>200</v>
      </c>
      <c r="AC114" s="78">
        <f t="shared" si="3"/>
        <v>-60</v>
      </c>
    </row>
    <row r="115" spans="1:30">
      <c r="A115" s="3" t="s">
        <v>314</v>
      </c>
      <c r="B115" s="2" t="s">
        <v>312</v>
      </c>
      <c r="D115" s="2" t="s">
        <v>315</v>
      </c>
      <c r="E115" s="2" t="s">
        <v>316</v>
      </c>
      <c r="O115" s="22">
        <v>0</v>
      </c>
      <c r="P115" s="22">
        <v>0</v>
      </c>
      <c r="Q115" s="22">
        <v>0</v>
      </c>
      <c r="R115" s="12" t="s">
        <v>586</v>
      </c>
      <c r="Y115" s="9" t="str">
        <f t="shared" si="5"/>
        <v>Yes</v>
      </c>
      <c r="Z115" s="22">
        <v>25</v>
      </c>
      <c r="AA115" s="22">
        <v>10</v>
      </c>
      <c r="AB115" s="22">
        <v>2</v>
      </c>
      <c r="AC115" s="78">
        <f t="shared" si="3"/>
        <v>-23</v>
      </c>
    </row>
    <row r="116" spans="1:30">
      <c r="A116" s="5" t="s">
        <v>317</v>
      </c>
      <c r="B116" s="2" t="s">
        <v>312</v>
      </c>
      <c r="D116" s="2" t="s">
        <v>318</v>
      </c>
      <c r="E116" s="2" t="s">
        <v>245</v>
      </c>
      <c r="F116" s="1" t="s">
        <v>319</v>
      </c>
      <c r="O116" s="22">
        <v>0</v>
      </c>
      <c r="P116" s="22">
        <v>0</v>
      </c>
      <c r="Q116" s="22">
        <v>10</v>
      </c>
      <c r="R116" s="12" t="s">
        <v>565</v>
      </c>
      <c r="S116" s="133">
        <v>0.06</v>
      </c>
      <c r="T116" s="2" t="s">
        <v>626</v>
      </c>
      <c r="U116" s="1" t="s">
        <v>566</v>
      </c>
      <c r="Y116" s="9" t="str">
        <f t="shared" si="5"/>
        <v>Yes</v>
      </c>
      <c r="Z116" s="22">
        <v>970</v>
      </c>
      <c r="AA116" s="22">
        <v>7475</v>
      </c>
      <c r="AB116" s="22">
        <v>1495</v>
      </c>
      <c r="AC116" s="78">
        <f t="shared" si="3"/>
        <v>525</v>
      </c>
    </row>
    <row r="117" spans="1:30">
      <c r="A117" s="5" t="s">
        <v>320</v>
      </c>
      <c r="B117" s="2" t="s">
        <v>312</v>
      </c>
      <c r="D117" s="2" t="s">
        <v>321</v>
      </c>
      <c r="E117" s="2" t="s">
        <v>315</v>
      </c>
      <c r="F117" s="1" t="s">
        <v>52</v>
      </c>
      <c r="G117" s="66" t="s">
        <v>324</v>
      </c>
      <c r="O117" s="22">
        <v>0</v>
      </c>
      <c r="P117" s="22">
        <v>10</v>
      </c>
      <c r="Q117" s="22">
        <v>0</v>
      </c>
      <c r="R117" s="12" t="s">
        <v>570</v>
      </c>
      <c r="S117" s="133">
        <v>0.06</v>
      </c>
      <c r="T117" s="2" t="s">
        <v>624</v>
      </c>
      <c r="U117" s="1" t="s">
        <v>571</v>
      </c>
      <c r="Y117" s="9" t="str">
        <f t="shared" si="5"/>
        <v>No</v>
      </c>
      <c r="Z117" s="22">
        <v>1210</v>
      </c>
      <c r="AA117" s="22">
        <v>6325</v>
      </c>
      <c r="AB117" s="22">
        <v>1265</v>
      </c>
      <c r="AC117" s="78">
        <f t="shared" si="3"/>
        <v>55</v>
      </c>
    </row>
    <row r="118" spans="1:30">
      <c r="A118" s="5" t="s">
        <v>322</v>
      </c>
      <c r="B118" s="2" t="s">
        <v>312</v>
      </c>
      <c r="D118" s="2" t="s">
        <v>71</v>
      </c>
      <c r="E118" s="2" t="s">
        <v>323</v>
      </c>
      <c r="F118" s="1" t="s">
        <v>137</v>
      </c>
      <c r="O118" s="22">
        <v>0</v>
      </c>
      <c r="P118" s="22">
        <v>0</v>
      </c>
      <c r="Q118" s="22">
        <v>10</v>
      </c>
      <c r="R118" s="12" t="s">
        <v>565</v>
      </c>
      <c r="S118" s="133">
        <v>0.06</v>
      </c>
      <c r="T118" s="2" t="s">
        <v>627</v>
      </c>
      <c r="U118" s="1" t="s">
        <v>566</v>
      </c>
      <c r="Y118" s="9" t="str">
        <f t="shared" si="5"/>
        <v>Yes</v>
      </c>
      <c r="Z118" s="22">
        <v>970</v>
      </c>
      <c r="AA118" s="22">
        <v>7085</v>
      </c>
      <c r="AB118" s="22">
        <v>1417</v>
      </c>
      <c r="AC118" s="78">
        <f t="shared" si="3"/>
        <v>447</v>
      </c>
    </row>
    <row r="119" spans="1:30">
      <c r="A119" s="6" t="s">
        <v>324</v>
      </c>
      <c r="B119" s="2" t="s">
        <v>312</v>
      </c>
      <c r="D119" s="2" t="s">
        <v>325</v>
      </c>
      <c r="E119" s="2" t="s">
        <v>251</v>
      </c>
      <c r="F119" s="1" t="s">
        <v>94</v>
      </c>
      <c r="O119" s="22">
        <v>0</v>
      </c>
      <c r="P119" s="22">
        <v>20</v>
      </c>
      <c r="Q119" s="22">
        <v>0</v>
      </c>
      <c r="R119" s="12" t="s">
        <v>570</v>
      </c>
      <c r="S119" s="133">
        <v>0.1</v>
      </c>
      <c r="T119" s="2" t="s">
        <v>624</v>
      </c>
      <c r="U119" s="1" t="s">
        <v>571</v>
      </c>
      <c r="Y119" s="9" t="str">
        <f t="shared" si="5"/>
        <v>Yes</v>
      </c>
      <c r="Z119" s="22">
        <v>6130</v>
      </c>
      <c r="AA119" s="22">
        <v>11250</v>
      </c>
      <c r="AB119" s="22">
        <v>2250</v>
      </c>
      <c r="AC119" s="78">
        <f t="shared" si="3"/>
        <v>-3880</v>
      </c>
    </row>
    <row r="120" spans="1:30" s="20" customFormat="1">
      <c r="A120" s="28" t="s">
        <v>326</v>
      </c>
      <c r="B120" s="35" t="s">
        <v>312</v>
      </c>
      <c r="D120" s="35" t="s">
        <v>327</v>
      </c>
      <c r="E120" s="35" t="s">
        <v>328</v>
      </c>
      <c r="F120" s="26" t="s">
        <v>329</v>
      </c>
      <c r="G120" s="34" t="s">
        <v>308</v>
      </c>
      <c r="N120" s="26"/>
      <c r="O120" s="33">
        <v>0</v>
      </c>
      <c r="P120" s="33">
        <v>22</v>
      </c>
      <c r="Q120" s="33">
        <v>0</v>
      </c>
      <c r="R120" s="37" t="s">
        <v>570</v>
      </c>
      <c r="S120" s="134">
        <v>0.1</v>
      </c>
      <c r="T120" s="20" t="s">
        <v>628</v>
      </c>
      <c r="U120" s="26" t="s">
        <v>571</v>
      </c>
      <c r="V120" s="134">
        <v>0.02</v>
      </c>
      <c r="W120" s="20" t="s">
        <v>562</v>
      </c>
      <c r="X120" s="26" t="s">
        <v>566</v>
      </c>
      <c r="Y120" s="20" t="str">
        <f t="shared" si="5"/>
        <v>No</v>
      </c>
      <c r="Z120" s="33">
        <v>9610</v>
      </c>
      <c r="AA120" s="33">
        <v>12450</v>
      </c>
      <c r="AB120" s="33">
        <v>2490</v>
      </c>
      <c r="AC120" s="112">
        <f t="shared" si="3"/>
        <v>-7120</v>
      </c>
      <c r="AD120" s="33"/>
    </row>
    <row r="121" spans="1:30">
      <c r="A121" s="3" t="s">
        <v>331</v>
      </c>
      <c r="B121" s="2" t="s">
        <v>330</v>
      </c>
      <c r="D121" s="9" t="s">
        <v>34</v>
      </c>
      <c r="E121" s="9" t="s">
        <v>294</v>
      </c>
      <c r="O121" s="22">
        <v>0</v>
      </c>
      <c r="P121" s="22">
        <v>1</v>
      </c>
      <c r="Q121" s="22">
        <v>1</v>
      </c>
      <c r="R121" s="1" t="s">
        <v>567</v>
      </c>
      <c r="S121" s="133">
        <v>0.02</v>
      </c>
      <c r="T121" s="2" t="s">
        <v>627</v>
      </c>
      <c r="U121" s="1" t="s">
        <v>572</v>
      </c>
      <c r="Y121" s="9" t="str">
        <f t="shared" si="5"/>
        <v>Yes</v>
      </c>
      <c r="Z121" s="22">
        <v>60</v>
      </c>
      <c r="AA121" s="22">
        <v>700</v>
      </c>
      <c r="AB121" s="22">
        <v>140</v>
      </c>
      <c r="AC121" s="78">
        <f t="shared" si="3"/>
        <v>80</v>
      </c>
    </row>
    <row r="122" spans="1:30">
      <c r="A122" s="4" t="s">
        <v>332</v>
      </c>
      <c r="B122" s="2" t="s">
        <v>330</v>
      </c>
      <c r="D122" s="2" t="s">
        <v>333</v>
      </c>
      <c r="E122" s="2" t="s">
        <v>334</v>
      </c>
      <c r="F122" s="1" t="s">
        <v>335</v>
      </c>
      <c r="O122" s="22">
        <v>2</v>
      </c>
      <c r="P122" s="22">
        <v>0</v>
      </c>
      <c r="Q122" s="22">
        <v>2</v>
      </c>
      <c r="R122" s="12" t="s">
        <v>567</v>
      </c>
      <c r="S122" s="135">
        <v>0.03</v>
      </c>
      <c r="T122" s="2" t="s">
        <v>629</v>
      </c>
      <c r="U122" s="12" t="s">
        <v>572</v>
      </c>
      <c r="Y122" s="9" t="str">
        <f t="shared" si="5"/>
        <v>Yes</v>
      </c>
      <c r="Z122" s="22">
        <v>580</v>
      </c>
      <c r="AA122" s="22">
        <v>1000</v>
      </c>
      <c r="AB122" s="22">
        <v>200</v>
      </c>
      <c r="AC122" s="78">
        <f t="shared" si="3"/>
        <v>-380</v>
      </c>
    </row>
    <row r="123" spans="1:30">
      <c r="A123" s="5" t="s">
        <v>336</v>
      </c>
      <c r="B123" s="2" t="s">
        <v>330</v>
      </c>
      <c r="D123" s="2" t="s">
        <v>134</v>
      </c>
      <c r="E123" s="2" t="s">
        <v>337</v>
      </c>
      <c r="F123" s="1" t="s">
        <v>53</v>
      </c>
      <c r="O123" s="22">
        <v>15</v>
      </c>
      <c r="P123" s="22">
        <v>0</v>
      </c>
      <c r="Q123" s="22">
        <v>0</v>
      </c>
      <c r="R123" s="12" t="s">
        <v>570</v>
      </c>
      <c r="Y123" s="9" t="str">
        <f t="shared" si="5"/>
        <v>Yes</v>
      </c>
      <c r="Z123" s="22">
        <v>1330</v>
      </c>
      <c r="AA123" s="22">
        <v>8250</v>
      </c>
      <c r="AB123" s="22">
        <v>1650</v>
      </c>
      <c r="AC123" s="78">
        <f t="shared" si="3"/>
        <v>320</v>
      </c>
    </row>
    <row r="124" spans="1:30">
      <c r="A124" s="5" t="s">
        <v>338</v>
      </c>
      <c r="B124" s="2" t="s">
        <v>330</v>
      </c>
      <c r="D124" s="2" t="s">
        <v>205</v>
      </c>
      <c r="E124" s="2" t="s">
        <v>197</v>
      </c>
      <c r="F124" s="1" t="s">
        <v>213</v>
      </c>
      <c r="G124" s="66" t="s">
        <v>343</v>
      </c>
      <c r="O124" s="22">
        <v>0</v>
      </c>
      <c r="P124" s="22">
        <v>0</v>
      </c>
      <c r="Q124" s="22">
        <v>10</v>
      </c>
      <c r="R124" s="12" t="s">
        <v>570</v>
      </c>
      <c r="S124" s="133">
        <v>0.06</v>
      </c>
      <c r="T124" s="2" t="s">
        <v>629</v>
      </c>
      <c r="U124" s="1" t="s">
        <v>571</v>
      </c>
      <c r="Y124" s="9" t="str">
        <f t="shared" si="5"/>
        <v>No</v>
      </c>
      <c r="Z124" s="22">
        <v>970</v>
      </c>
      <c r="AA124" s="22">
        <v>6325</v>
      </c>
      <c r="AB124" s="22">
        <v>1265</v>
      </c>
      <c r="AC124" s="78">
        <f t="shared" si="3"/>
        <v>295</v>
      </c>
    </row>
    <row r="125" spans="1:30">
      <c r="A125" s="5" t="s">
        <v>339</v>
      </c>
      <c r="B125" s="2" t="s">
        <v>330</v>
      </c>
      <c r="D125" s="2" t="s">
        <v>239</v>
      </c>
      <c r="E125" s="2" t="s">
        <v>289</v>
      </c>
      <c r="F125" s="1" t="s">
        <v>52</v>
      </c>
      <c r="G125" s="66" t="s">
        <v>340</v>
      </c>
      <c r="O125" s="22">
        <v>10</v>
      </c>
      <c r="P125" s="22">
        <v>0</v>
      </c>
      <c r="Q125" s="22">
        <v>0</v>
      </c>
      <c r="R125" s="12" t="s">
        <v>565</v>
      </c>
      <c r="S125" s="133">
        <v>0.06</v>
      </c>
      <c r="T125" s="2" t="s">
        <v>623</v>
      </c>
      <c r="U125" s="1" t="s">
        <v>566</v>
      </c>
      <c r="Y125" s="9" t="str">
        <f t="shared" si="5"/>
        <v>No</v>
      </c>
      <c r="Z125" s="22">
        <v>1090</v>
      </c>
      <c r="AA125" s="22">
        <v>7475</v>
      </c>
      <c r="AB125" s="22">
        <v>1495</v>
      </c>
      <c r="AC125" s="78">
        <f t="shared" si="3"/>
        <v>405</v>
      </c>
    </row>
    <row r="126" spans="1:30">
      <c r="A126" s="6" t="s">
        <v>340</v>
      </c>
      <c r="B126" s="2" t="s">
        <v>330</v>
      </c>
      <c r="D126" s="2" t="s">
        <v>341</v>
      </c>
      <c r="E126" s="2" t="s">
        <v>342</v>
      </c>
      <c r="F126" s="1" t="s">
        <v>255</v>
      </c>
      <c r="O126" s="22">
        <v>20</v>
      </c>
      <c r="P126" s="22">
        <v>0</v>
      </c>
      <c r="Q126" s="22">
        <v>0</v>
      </c>
      <c r="R126" s="12" t="s">
        <v>565</v>
      </c>
      <c r="S126" s="133">
        <v>0.1</v>
      </c>
      <c r="T126" s="2" t="s">
        <v>623</v>
      </c>
      <c r="U126" s="1" t="s">
        <v>566</v>
      </c>
      <c r="Y126" s="9" t="str">
        <f t="shared" si="5"/>
        <v>Yes</v>
      </c>
      <c r="Z126" s="22">
        <v>5770</v>
      </c>
      <c r="AA126" s="22">
        <v>13500</v>
      </c>
      <c r="AB126" s="22">
        <v>2700</v>
      </c>
      <c r="AC126" s="78">
        <f t="shared" si="3"/>
        <v>-3070</v>
      </c>
    </row>
    <row r="127" spans="1:30">
      <c r="A127" s="6" t="s">
        <v>343</v>
      </c>
      <c r="B127" s="2" t="s">
        <v>330</v>
      </c>
      <c r="D127" s="2" t="s">
        <v>344</v>
      </c>
      <c r="E127" s="2" t="s">
        <v>345</v>
      </c>
      <c r="F127" s="1" t="s">
        <v>95</v>
      </c>
      <c r="O127" s="22">
        <v>0</v>
      </c>
      <c r="P127" s="22">
        <v>0</v>
      </c>
      <c r="Q127" s="22">
        <v>20</v>
      </c>
      <c r="R127" s="12" t="s">
        <v>570</v>
      </c>
      <c r="S127" s="133">
        <v>0.1</v>
      </c>
      <c r="T127" s="2" t="s">
        <v>629</v>
      </c>
      <c r="U127" s="1" t="s">
        <v>571</v>
      </c>
      <c r="Y127" s="9" t="str">
        <f t="shared" si="5"/>
        <v>Yes</v>
      </c>
      <c r="Z127" s="22">
        <v>5410</v>
      </c>
      <c r="AA127" s="22">
        <v>11250</v>
      </c>
      <c r="AB127" s="22">
        <v>2250</v>
      </c>
      <c r="AC127" s="78">
        <f t="shared" si="3"/>
        <v>-3160</v>
      </c>
    </row>
    <row r="128" spans="1:30" s="20" customFormat="1">
      <c r="A128" s="28" t="s">
        <v>346</v>
      </c>
      <c r="B128" s="35" t="s">
        <v>330</v>
      </c>
      <c r="D128" s="35" t="s">
        <v>347</v>
      </c>
      <c r="E128" s="35" t="s">
        <v>348</v>
      </c>
      <c r="F128" s="26" t="s">
        <v>349</v>
      </c>
      <c r="G128" s="34" t="s">
        <v>308</v>
      </c>
      <c r="N128" s="26"/>
      <c r="O128" s="33">
        <v>17</v>
      </c>
      <c r="P128" s="33">
        <v>17</v>
      </c>
      <c r="Q128" s="33">
        <v>17</v>
      </c>
      <c r="R128" s="37" t="s">
        <v>565</v>
      </c>
      <c r="S128" s="134"/>
      <c r="U128" s="26"/>
      <c r="V128" s="134"/>
      <c r="X128" s="26"/>
      <c r="Y128" s="20" t="str">
        <f t="shared" si="5"/>
        <v>No</v>
      </c>
      <c r="Z128" s="33">
        <v>6230</v>
      </c>
      <c r="AA128" s="33">
        <v>54600</v>
      </c>
      <c r="AB128" s="33">
        <v>10920</v>
      </c>
      <c r="AC128" s="112">
        <f t="shared" si="3"/>
        <v>4690</v>
      </c>
      <c r="AD128" s="33"/>
    </row>
    <row r="129" spans="1:30">
      <c r="A129" s="15" t="s">
        <v>1208</v>
      </c>
      <c r="B129" s="2" t="s">
        <v>1070</v>
      </c>
      <c r="D129" s="2" t="s">
        <v>490</v>
      </c>
      <c r="E129" s="2" t="s">
        <v>59</v>
      </c>
      <c r="F129" s="1" t="s">
        <v>80</v>
      </c>
      <c r="G129" s="150"/>
      <c r="O129" s="22">
        <v>1</v>
      </c>
      <c r="P129" s="22">
        <v>1</v>
      </c>
      <c r="Q129" s="22">
        <v>1</v>
      </c>
      <c r="R129" s="12" t="s">
        <v>567</v>
      </c>
      <c r="V129" s="133"/>
      <c r="Y129" s="9" t="str">
        <f t="shared" si="5"/>
        <v>Yes</v>
      </c>
      <c r="AC129" s="78">
        <f t="shared" si="3"/>
        <v>0</v>
      </c>
    </row>
    <row r="130" spans="1:30">
      <c r="A130" s="15" t="s">
        <v>884</v>
      </c>
      <c r="B130" s="2" t="s">
        <v>1070</v>
      </c>
      <c r="D130" s="2" t="s">
        <v>1123</v>
      </c>
      <c r="E130" s="2" t="s">
        <v>1124</v>
      </c>
      <c r="G130" s="150"/>
      <c r="O130" s="22">
        <v>0</v>
      </c>
      <c r="P130" s="22">
        <v>0</v>
      </c>
      <c r="Q130" s="22">
        <v>0</v>
      </c>
      <c r="R130" s="12" t="s">
        <v>576</v>
      </c>
      <c r="V130" s="133"/>
      <c r="Y130" s="9" t="str">
        <f t="shared" si="5"/>
        <v>Yes</v>
      </c>
      <c r="AC130" s="78">
        <f t="shared" si="3"/>
        <v>0</v>
      </c>
    </row>
    <row r="131" spans="1:30">
      <c r="A131" s="5" t="s">
        <v>1077</v>
      </c>
      <c r="B131" s="2" t="s">
        <v>1070</v>
      </c>
      <c r="D131" s="2" t="s">
        <v>1125</v>
      </c>
      <c r="E131" s="2" t="s">
        <v>1126</v>
      </c>
      <c r="G131" s="150"/>
      <c r="O131" s="22">
        <v>0</v>
      </c>
      <c r="P131" s="22">
        <v>15</v>
      </c>
      <c r="Q131" s="22">
        <v>0</v>
      </c>
      <c r="R131" s="12" t="s">
        <v>565</v>
      </c>
      <c r="V131" s="133"/>
      <c r="Y131" s="9" t="str">
        <f t="shared" si="5"/>
        <v>Yes</v>
      </c>
      <c r="AC131" s="78">
        <f t="shared" si="3"/>
        <v>0</v>
      </c>
    </row>
    <row r="132" spans="1:30">
      <c r="A132" s="5" t="s">
        <v>855</v>
      </c>
      <c r="B132" s="2" t="s">
        <v>1070</v>
      </c>
      <c r="D132" s="2" t="s">
        <v>517</v>
      </c>
      <c r="E132" s="2" t="s">
        <v>267</v>
      </c>
      <c r="F132" s="1" t="s">
        <v>404</v>
      </c>
      <c r="G132" s="156" t="s">
        <v>1120</v>
      </c>
      <c r="O132" s="22">
        <v>10</v>
      </c>
      <c r="P132" s="22">
        <v>0</v>
      </c>
      <c r="Q132" s="22">
        <v>0</v>
      </c>
      <c r="R132" s="12" t="s">
        <v>570</v>
      </c>
      <c r="S132" s="133">
        <v>0.06</v>
      </c>
      <c r="T132" s="9" t="s">
        <v>623</v>
      </c>
      <c r="U132" s="1" t="s">
        <v>571</v>
      </c>
      <c r="V132" s="133"/>
      <c r="Y132" s="9" t="str">
        <f t="shared" si="5"/>
        <v>No</v>
      </c>
      <c r="AC132" s="78">
        <f t="shared" si="3"/>
        <v>0</v>
      </c>
    </row>
    <row r="133" spans="1:30">
      <c r="A133" s="5" t="s">
        <v>1078</v>
      </c>
      <c r="B133" s="2" t="s">
        <v>1070</v>
      </c>
      <c r="D133" s="2" t="s">
        <v>208</v>
      </c>
      <c r="E133" s="2" t="s">
        <v>1127</v>
      </c>
      <c r="F133" s="9" t="s">
        <v>357</v>
      </c>
      <c r="G133" s="157" t="s">
        <v>1121</v>
      </c>
      <c r="O133" s="22">
        <v>0</v>
      </c>
      <c r="P133" s="22">
        <v>0</v>
      </c>
      <c r="Q133" s="22">
        <v>10</v>
      </c>
      <c r="R133" s="12" t="s">
        <v>565</v>
      </c>
      <c r="S133" s="133">
        <v>0.06</v>
      </c>
      <c r="T133" s="9" t="s">
        <v>629</v>
      </c>
      <c r="U133" s="1" t="s">
        <v>566</v>
      </c>
      <c r="V133" s="133"/>
      <c r="Y133" s="9" t="str">
        <f t="shared" si="5"/>
        <v>No</v>
      </c>
      <c r="AC133" s="78">
        <f t="shared" si="3"/>
        <v>0</v>
      </c>
    </row>
    <row r="134" spans="1:30">
      <c r="A134" s="3" t="s">
        <v>527</v>
      </c>
      <c r="B134" s="2" t="s">
        <v>1070</v>
      </c>
      <c r="D134" s="2" t="s">
        <v>1128</v>
      </c>
      <c r="E134" s="2" t="s">
        <v>451</v>
      </c>
      <c r="F134" s="1" t="s">
        <v>52</v>
      </c>
      <c r="G134" s="17" t="s">
        <v>535</v>
      </c>
      <c r="O134" s="22">
        <v>0</v>
      </c>
      <c r="P134" s="22">
        <v>0</v>
      </c>
      <c r="Q134" s="22">
        <v>0</v>
      </c>
      <c r="Y134" s="9" t="str">
        <f t="shared" si="5"/>
        <v>No</v>
      </c>
      <c r="Z134" s="22">
        <v>75</v>
      </c>
      <c r="AA134" s="22">
        <v>10</v>
      </c>
      <c r="AB134" s="22">
        <v>2</v>
      </c>
      <c r="AC134" s="78">
        <f t="shared" si="3"/>
        <v>-73</v>
      </c>
    </row>
    <row r="135" spans="1:30">
      <c r="A135" s="6" t="s">
        <v>1120</v>
      </c>
      <c r="B135" s="2" t="s">
        <v>1070</v>
      </c>
      <c r="D135" s="2" t="s">
        <v>1129</v>
      </c>
      <c r="E135" s="2" t="s">
        <v>1130</v>
      </c>
      <c r="F135" s="1" t="s">
        <v>329</v>
      </c>
      <c r="G135" s="150"/>
      <c r="O135" s="22">
        <v>20</v>
      </c>
      <c r="P135" s="22">
        <v>0</v>
      </c>
      <c r="Q135" s="22">
        <v>0</v>
      </c>
      <c r="R135" s="155" t="s">
        <v>570</v>
      </c>
      <c r="S135" s="133">
        <v>0.1</v>
      </c>
      <c r="T135" s="9" t="s">
        <v>623</v>
      </c>
      <c r="U135" s="1" t="s">
        <v>571</v>
      </c>
      <c r="V135" s="133"/>
      <c r="Y135" s="9" t="str">
        <f t="shared" si="5"/>
        <v>Yes</v>
      </c>
      <c r="AC135" s="78">
        <f t="shared" si="3"/>
        <v>0</v>
      </c>
    </row>
    <row r="136" spans="1:30">
      <c r="A136" s="6" t="s">
        <v>1121</v>
      </c>
      <c r="B136" s="2" t="s">
        <v>1070</v>
      </c>
      <c r="D136" s="2" t="s">
        <v>1131</v>
      </c>
      <c r="E136" s="2" t="s">
        <v>255</v>
      </c>
      <c r="F136" s="1" t="s">
        <v>342</v>
      </c>
      <c r="G136" s="150"/>
      <c r="O136" s="22">
        <v>0</v>
      </c>
      <c r="P136" s="22">
        <v>0</v>
      </c>
      <c r="Q136" s="22">
        <v>20</v>
      </c>
      <c r="R136" s="12" t="s">
        <v>565</v>
      </c>
      <c r="S136" s="133">
        <v>0.1</v>
      </c>
      <c r="T136" s="9" t="s">
        <v>629</v>
      </c>
      <c r="U136" s="1" t="s">
        <v>566</v>
      </c>
      <c r="V136" s="133"/>
      <c r="Y136" s="9" t="str">
        <f t="shared" si="5"/>
        <v>Yes</v>
      </c>
      <c r="AC136" s="78">
        <f t="shared" si="3"/>
        <v>0</v>
      </c>
    </row>
    <row r="137" spans="1:30" s="44" customFormat="1">
      <c r="A137" s="152" t="s">
        <v>1074</v>
      </c>
      <c r="B137" s="53" t="s">
        <v>1071</v>
      </c>
      <c r="D137" s="53"/>
      <c r="E137" s="53"/>
      <c r="F137" s="45"/>
      <c r="G137" s="153"/>
      <c r="N137" s="45"/>
      <c r="O137" s="43">
        <v>10</v>
      </c>
      <c r="P137" s="43">
        <v>0</v>
      </c>
      <c r="Q137" s="43">
        <v>0</v>
      </c>
      <c r="R137" s="154" t="s">
        <v>565</v>
      </c>
      <c r="S137" s="140">
        <v>0.06</v>
      </c>
      <c r="T137" s="44" t="s">
        <v>622</v>
      </c>
      <c r="U137" s="45" t="s">
        <v>566</v>
      </c>
      <c r="V137" s="140"/>
      <c r="X137" s="45"/>
      <c r="Y137" s="44" t="str">
        <f t="shared" ref="Y137:Y143" si="6">IF(G137="","Yes","No")</f>
        <v>Yes</v>
      </c>
      <c r="Z137" s="43"/>
      <c r="AA137" s="43"/>
      <c r="AB137" s="43"/>
      <c r="AC137" s="130">
        <f t="shared" ref="AC137:AC143" si="7">AB137-Z137</f>
        <v>0</v>
      </c>
      <c r="AD137" s="43"/>
    </row>
    <row r="138" spans="1:30">
      <c r="A138" s="5" t="s">
        <v>1075</v>
      </c>
      <c r="B138" s="2" t="s">
        <v>1071</v>
      </c>
      <c r="D138" s="2"/>
      <c r="E138" s="2"/>
      <c r="G138" s="150"/>
      <c r="O138" s="22">
        <v>10</v>
      </c>
      <c r="P138" s="22">
        <v>0</v>
      </c>
      <c r="Q138" s="22">
        <v>0</v>
      </c>
      <c r="R138" s="12" t="s">
        <v>567</v>
      </c>
      <c r="S138" s="133" t="s">
        <v>923</v>
      </c>
      <c r="T138" s="9" t="s">
        <v>1122</v>
      </c>
      <c r="U138" s="1" t="s">
        <v>572</v>
      </c>
      <c r="V138" s="133"/>
      <c r="Y138" s="9" t="str">
        <f t="shared" si="6"/>
        <v>Yes</v>
      </c>
      <c r="AC138" s="78">
        <f t="shared" si="7"/>
        <v>0</v>
      </c>
    </row>
    <row r="139" spans="1:30">
      <c r="A139" s="5" t="s">
        <v>783</v>
      </c>
      <c r="B139" s="2" t="s">
        <v>1071</v>
      </c>
      <c r="D139" s="2"/>
      <c r="E139" s="2"/>
      <c r="G139" s="150"/>
      <c r="O139" s="22">
        <v>0</v>
      </c>
      <c r="P139" s="22">
        <v>0</v>
      </c>
      <c r="Q139" s="22">
        <v>15</v>
      </c>
      <c r="R139" s="12" t="s">
        <v>570</v>
      </c>
      <c r="V139" s="133"/>
      <c r="Y139" s="9" t="str">
        <f t="shared" si="6"/>
        <v>Yes</v>
      </c>
      <c r="AC139" s="78">
        <f t="shared" si="7"/>
        <v>0</v>
      </c>
    </row>
    <row r="140" spans="1:30">
      <c r="A140" s="5" t="s">
        <v>856</v>
      </c>
      <c r="B140" s="2" t="s">
        <v>1071</v>
      </c>
      <c r="D140" s="2"/>
      <c r="E140" s="2"/>
      <c r="G140" s="150"/>
      <c r="O140" s="22">
        <v>0</v>
      </c>
      <c r="P140" s="22">
        <v>10</v>
      </c>
      <c r="Q140" s="22">
        <v>0</v>
      </c>
      <c r="R140" s="12" t="s">
        <v>570</v>
      </c>
      <c r="S140" s="133">
        <v>0.06</v>
      </c>
      <c r="T140" s="9" t="s">
        <v>625</v>
      </c>
      <c r="U140" s="1" t="s">
        <v>571</v>
      </c>
      <c r="V140" s="133"/>
      <c r="Y140" s="9" t="str">
        <f t="shared" si="6"/>
        <v>Yes</v>
      </c>
      <c r="AC140" s="78">
        <f t="shared" si="7"/>
        <v>0</v>
      </c>
    </row>
    <row r="141" spans="1:30">
      <c r="A141" s="5" t="s">
        <v>1073</v>
      </c>
      <c r="B141" s="2" t="s">
        <v>1071</v>
      </c>
      <c r="D141" s="2"/>
      <c r="E141" s="2"/>
      <c r="G141" s="150"/>
      <c r="O141" s="22">
        <v>15</v>
      </c>
      <c r="P141" s="22">
        <v>0</v>
      </c>
      <c r="Q141" s="22">
        <v>0</v>
      </c>
      <c r="R141" s="12" t="s">
        <v>565</v>
      </c>
      <c r="V141" s="133"/>
      <c r="Y141" s="9" t="str">
        <f t="shared" si="6"/>
        <v>Yes</v>
      </c>
      <c r="AC141" s="78">
        <f t="shared" si="7"/>
        <v>0</v>
      </c>
    </row>
    <row r="142" spans="1:30">
      <c r="A142" s="6" t="s">
        <v>1076</v>
      </c>
      <c r="B142" s="2" t="s">
        <v>1071</v>
      </c>
      <c r="D142" s="2" t="s">
        <v>783</v>
      </c>
      <c r="E142" s="2"/>
      <c r="G142" s="150"/>
      <c r="O142" s="22">
        <v>0</v>
      </c>
      <c r="P142" s="22">
        <v>0</v>
      </c>
      <c r="Q142" s="22">
        <v>30</v>
      </c>
      <c r="R142" s="12" t="s">
        <v>570</v>
      </c>
      <c r="V142" s="133"/>
      <c r="Y142" s="9" t="str">
        <f t="shared" si="6"/>
        <v>Yes</v>
      </c>
      <c r="AC142" s="78">
        <f t="shared" si="7"/>
        <v>0</v>
      </c>
    </row>
    <row r="143" spans="1:30">
      <c r="A143" s="6" t="s">
        <v>1072</v>
      </c>
      <c r="B143" s="2" t="s">
        <v>1071</v>
      </c>
      <c r="D143" s="2" t="s">
        <v>1074</v>
      </c>
      <c r="E143" s="2"/>
      <c r="G143" s="150"/>
      <c r="O143" s="22">
        <v>20</v>
      </c>
      <c r="P143" s="22">
        <v>0</v>
      </c>
      <c r="Q143" s="22">
        <v>0</v>
      </c>
      <c r="R143" s="12" t="s">
        <v>565</v>
      </c>
      <c r="S143" s="133">
        <v>0.1</v>
      </c>
      <c r="T143" s="9" t="s">
        <v>622</v>
      </c>
      <c r="U143" s="1" t="s">
        <v>566</v>
      </c>
      <c r="V143" s="133"/>
      <c r="Y143" s="9" t="str">
        <f t="shared" si="6"/>
        <v>Yes</v>
      </c>
      <c r="AC143" s="78">
        <f t="shared" si="7"/>
        <v>0</v>
      </c>
    </row>
    <row r="144" spans="1:30">
      <c r="A144" s="4" t="s">
        <v>555</v>
      </c>
      <c r="B144" s="2" t="s">
        <v>1071</v>
      </c>
      <c r="G144" s="19" t="s">
        <v>146</v>
      </c>
      <c r="O144" s="22">
        <v>2</v>
      </c>
      <c r="P144" s="22">
        <v>2</v>
      </c>
      <c r="Q144" s="22">
        <v>2</v>
      </c>
      <c r="R144" s="1" t="s">
        <v>565</v>
      </c>
      <c r="S144" s="133">
        <v>0.01</v>
      </c>
      <c r="T144" s="9" t="s">
        <v>1093</v>
      </c>
      <c r="U144" s="1" t="s">
        <v>848</v>
      </c>
      <c r="Y144" s="9" t="str">
        <f t="shared" ref="Y144" si="8">IF(G144="","Yes","No")</f>
        <v>No</v>
      </c>
      <c r="AB144" s="22">
        <v>3009</v>
      </c>
      <c r="AC144" s="78">
        <f t="shared" ref="AC144" si="9">AB144-Z144</f>
        <v>3009</v>
      </c>
    </row>
    <row r="145" spans="1:30" s="44" customFormat="1">
      <c r="A145" s="151" t="s">
        <v>351</v>
      </c>
      <c r="B145" s="44" t="s">
        <v>1118</v>
      </c>
      <c r="D145" s="44" t="s">
        <v>27</v>
      </c>
      <c r="E145" s="44" t="s">
        <v>152</v>
      </c>
      <c r="F145" s="45" t="s">
        <v>56</v>
      </c>
      <c r="G145" s="128" t="s">
        <v>362</v>
      </c>
      <c r="N145" s="45"/>
      <c r="O145" s="43">
        <v>3</v>
      </c>
      <c r="P145" s="43">
        <v>0</v>
      </c>
      <c r="Q145" s="43">
        <v>0</v>
      </c>
      <c r="R145" s="45" t="s">
        <v>567</v>
      </c>
      <c r="S145" s="140"/>
      <c r="U145" s="45"/>
      <c r="V145" s="140"/>
      <c r="X145" s="45"/>
      <c r="Y145" s="44" t="str">
        <f t="shared" si="5"/>
        <v>No</v>
      </c>
      <c r="Z145" s="43">
        <v>60</v>
      </c>
      <c r="AA145" s="43">
        <v>450</v>
      </c>
      <c r="AB145" s="43">
        <v>90</v>
      </c>
      <c r="AC145" s="130">
        <f t="shared" si="3"/>
        <v>30</v>
      </c>
      <c r="AD145" s="43"/>
    </row>
    <row r="146" spans="1:30">
      <c r="A146" s="3" t="s">
        <v>352</v>
      </c>
      <c r="B146" s="2" t="s">
        <v>350</v>
      </c>
      <c r="D146" s="2" t="s">
        <v>353</v>
      </c>
      <c r="E146" s="2" t="s">
        <v>108</v>
      </c>
      <c r="F146" s="1" t="s">
        <v>86</v>
      </c>
      <c r="G146" s="16" t="s">
        <v>358</v>
      </c>
      <c r="O146" s="22">
        <v>0</v>
      </c>
      <c r="P146" s="22">
        <v>3</v>
      </c>
      <c r="Q146" s="22">
        <v>0</v>
      </c>
      <c r="R146" s="12" t="s">
        <v>567</v>
      </c>
      <c r="Y146" s="9" t="str">
        <f t="shared" si="5"/>
        <v>No</v>
      </c>
      <c r="Z146" s="22">
        <v>60</v>
      </c>
      <c r="AA146" s="22">
        <v>450</v>
      </c>
      <c r="AB146" s="22">
        <v>90</v>
      </c>
      <c r="AC146" s="78">
        <f t="shared" si="3"/>
        <v>30</v>
      </c>
    </row>
    <row r="147" spans="1:30">
      <c r="A147" s="3" t="s">
        <v>354</v>
      </c>
      <c r="B147" s="2" t="s">
        <v>350</v>
      </c>
      <c r="D147" s="2" t="s">
        <v>53</v>
      </c>
      <c r="E147" s="2" t="s">
        <v>154</v>
      </c>
      <c r="F147" s="1" t="s">
        <v>102</v>
      </c>
      <c r="G147" s="16" t="s">
        <v>355</v>
      </c>
      <c r="O147" s="22">
        <v>0</v>
      </c>
      <c r="P147" s="22">
        <v>0</v>
      </c>
      <c r="Q147" s="22">
        <v>3</v>
      </c>
      <c r="R147" s="12" t="s">
        <v>567</v>
      </c>
      <c r="Y147" s="9" t="str">
        <f t="shared" si="5"/>
        <v>No</v>
      </c>
      <c r="Z147" s="22">
        <v>60</v>
      </c>
      <c r="AA147" s="22">
        <v>450</v>
      </c>
      <c r="AB147" s="22">
        <v>90</v>
      </c>
      <c r="AC147" s="78">
        <f t="shared" si="3"/>
        <v>30</v>
      </c>
    </row>
    <row r="148" spans="1:30">
      <c r="A148" s="4" t="s">
        <v>355</v>
      </c>
      <c r="B148" s="2" t="s">
        <v>350</v>
      </c>
      <c r="D148" s="2" t="s">
        <v>356</v>
      </c>
      <c r="E148" s="2" t="s">
        <v>357</v>
      </c>
      <c r="F148" s="1" t="s">
        <v>248</v>
      </c>
      <c r="G148" s="17" t="s">
        <v>362</v>
      </c>
      <c r="O148" s="22">
        <v>3</v>
      </c>
      <c r="P148" s="22">
        <v>0</v>
      </c>
      <c r="Q148" s="22">
        <v>0</v>
      </c>
      <c r="R148" s="12" t="s">
        <v>567</v>
      </c>
      <c r="S148" s="133">
        <v>0.01</v>
      </c>
      <c r="T148" s="9" t="s">
        <v>561</v>
      </c>
      <c r="U148" s="1" t="s">
        <v>572</v>
      </c>
      <c r="Y148" s="9" t="str">
        <f t="shared" si="5"/>
        <v>No</v>
      </c>
      <c r="Z148" s="22">
        <v>260</v>
      </c>
      <c r="AA148" s="22">
        <v>750</v>
      </c>
      <c r="AB148" s="22">
        <v>150</v>
      </c>
      <c r="AC148" s="78">
        <f t="shared" si="3"/>
        <v>-110</v>
      </c>
    </row>
    <row r="149" spans="1:30">
      <c r="A149" s="4" t="s">
        <v>358</v>
      </c>
      <c r="B149" s="2" t="s">
        <v>350</v>
      </c>
      <c r="D149" s="2" t="s">
        <v>359</v>
      </c>
      <c r="E149" s="2" t="s">
        <v>131</v>
      </c>
      <c r="F149" s="1" t="s">
        <v>102</v>
      </c>
      <c r="G149" s="17" t="s">
        <v>366</v>
      </c>
      <c r="O149" s="22">
        <v>0</v>
      </c>
      <c r="P149" s="22">
        <v>3</v>
      </c>
      <c r="Q149" s="22">
        <v>0</v>
      </c>
      <c r="R149" s="12" t="s">
        <v>567</v>
      </c>
      <c r="S149" s="133">
        <v>0.01</v>
      </c>
      <c r="T149" s="9" t="s">
        <v>562</v>
      </c>
      <c r="U149" s="1" t="s">
        <v>572</v>
      </c>
      <c r="Y149" s="9" t="str">
        <f t="shared" si="5"/>
        <v>No</v>
      </c>
      <c r="Z149" s="22">
        <v>320</v>
      </c>
      <c r="AA149" s="22">
        <v>750</v>
      </c>
      <c r="AB149" s="22">
        <v>150</v>
      </c>
      <c r="AC149" s="78">
        <f t="shared" ref="AC149:AC212" si="10">AB149-Z149</f>
        <v>-170</v>
      </c>
    </row>
    <row r="150" spans="1:30">
      <c r="A150" s="4" t="s">
        <v>360</v>
      </c>
      <c r="B150" s="2" t="s">
        <v>350</v>
      </c>
      <c r="D150" s="2" t="s">
        <v>213</v>
      </c>
      <c r="E150" s="2" t="s">
        <v>268</v>
      </c>
      <c r="F150" s="1" t="s">
        <v>361</v>
      </c>
      <c r="G150" s="17" t="s">
        <v>369</v>
      </c>
      <c r="O150" s="22">
        <v>0</v>
      </c>
      <c r="P150" s="22">
        <v>0</v>
      </c>
      <c r="Q150" s="22">
        <v>3</v>
      </c>
      <c r="R150" s="12" t="s">
        <v>567</v>
      </c>
      <c r="S150" s="133">
        <v>0.01</v>
      </c>
      <c r="T150" s="9" t="s">
        <v>563</v>
      </c>
      <c r="U150" s="1" t="s">
        <v>572</v>
      </c>
      <c r="Y150" s="9" t="str">
        <f t="shared" si="5"/>
        <v>No</v>
      </c>
      <c r="Z150" s="22">
        <v>200</v>
      </c>
      <c r="AA150" s="22">
        <v>750</v>
      </c>
      <c r="AB150" s="22">
        <v>150</v>
      </c>
      <c r="AC150" s="78">
        <f t="shared" si="10"/>
        <v>-50</v>
      </c>
    </row>
    <row r="151" spans="1:30">
      <c r="A151" s="5" t="s">
        <v>362</v>
      </c>
      <c r="B151" s="2" t="s">
        <v>350</v>
      </c>
      <c r="D151" s="2" t="s">
        <v>363</v>
      </c>
      <c r="E151" s="2" t="s">
        <v>364</v>
      </c>
      <c r="F151" s="1" t="s">
        <v>365</v>
      </c>
      <c r="O151" s="22">
        <v>5</v>
      </c>
      <c r="P151" s="22">
        <v>0</v>
      </c>
      <c r="Q151" s="22">
        <v>0</v>
      </c>
      <c r="R151" s="12" t="s">
        <v>567</v>
      </c>
      <c r="S151" s="133">
        <v>0.03</v>
      </c>
      <c r="T151" s="2" t="s">
        <v>561</v>
      </c>
      <c r="U151" s="1" t="s">
        <v>572</v>
      </c>
      <c r="Y151" s="9" t="str">
        <f t="shared" si="5"/>
        <v>Yes</v>
      </c>
      <c r="Z151" s="22">
        <v>770</v>
      </c>
      <c r="AA151" s="22">
        <v>3250</v>
      </c>
      <c r="AB151" s="22">
        <v>650</v>
      </c>
      <c r="AC151" s="78">
        <f t="shared" si="10"/>
        <v>-120</v>
      </c>
    </row>
    <row r="152" spans="1:30">
      <c r="A152" s="5" t="s">
        <v>366</v>
      </c>
      <c r="B152" s="2" t="s">
        <v>350</v>
      </c>
      <c r="D152" s="2" t="s">
        <v>367</v>
      </c>
      <c r="E152" s="2" t="s">
        <v>368</v>
      </c>
      <c r="F152" s="1" t="s">
        <v>65</v>
      </c>
      <c r="O152" s="22">
        <v>0</v>
      </c>
      <c r="P152" s="22">
        <v>5</v>
      </c>
      <c r="Q152" s="22">
        <v>0</v>
      </c>
      <c r="R152" s="12" t="s">
        <v>567</v>
      </c>
      <c r="S152" s="133">
        <v>0.03</v>
      </c>
      <c r="T152" s="2" t="s">
        <v>562</v>
      </c>
      <c r="U152" s="1" t="s">
        <v>572</v>
      </c>
      <c r="Y152" s="9" t="str">
        <f t="shared" si="5"/>
        <v>Yes</v>
      </c>
      <c r="Z152" s="22">
        <v>1090</v>
      </c>
      <c r="AA152" s="22">
        <v>3250</v>
      </c>
      <c r="AB152" s="22">
        <v>650</v>
      </c>
      <c r="AC152" s="78">
        <f t="shared" si="10"/>
        <v>-440</v>
      </c>
    </row>
    <row r="153" spans="1:30">
      <c r="A153" s="5" t="s">
        <v>369</v>
      </c>
      <c r="B153" s="2" t="s">
        <v>350</v>
      </c>
      <c r="D153" s="2" t="s">
        <v>370</v>
      </c>
      <c r="E153" s="2" t="s">
        <v>265</v>
      </c>
      <c r="F153" s="1" t="s">
        <v>226</v>
      </c>
      <c r="O153" s="22">
        <v>0</v>
      </c>
      <c r="P153" s="22">
        <v>0</v>
      </c>
      <c r="Q153" s="22">
        <v>5</v>
      </c>
      <c r="R153" s="12" t="s">
        <v>567</v>
      </c>
      <c r="S153" s="133">
        <v>0.03</v>
      </c>
      <c r="T153" s="2" t="s">
        <v>563</v>
      </c>
      <c r="U153" s="1" t="s">
        <v>572</v>
      </c>
      <c r="Y153" s="9" t="str">
        <f t="shared" si="5"/>
        <v>Yes</v>
      </c>
      <c r="Z153" s="22">
        <v>850</v>
      </c>
      <c r="AA153" s="22">
        <v>3250</v>
      </c>
      <c r="AB153" s="22">
        <v>650</v>
      </c>
      <c r="AC153" s="78">
        <f t="shared" si="10"/>
        <v>-200</v>
      </c>
    </row>
    <row r="154" spans="1:30">
      <c r="A154" s="4" t="s">
        <v>371</v>
      </c>
      <c r="B154" s="2" t="s">
        <v>350</v>
      </c>
      <c r="D154" s="2" t="s">
        <v>372</v>
      </c>
      <c r="E154" s="2" t="s">
        <v>357</v>
      </c>
      <c r="F154" s="1" t="s">
        <v>218</v>
      </c>
      <c r="G154" s="17" t="s">
        <v>373</v>
      </c>
      <c r="O154" s="22">
        <v>0</v>
      </c>
      <c r="P154" s="22">
        <v>2</v>
      </c>
      <c r="Q154" s="22">
        <v>2</v>
      </c>
      <c r="R154" s="12" t="s">
        <v>570</v>
      </c>
      <c r="S154" s="133">
        <v>0.01</v>
      </c>
      <c r="T154" s="2" t="s">
        <v>562</v>
      </c>
      <c r="U154" s="1" t="s">
        <v>571</v>
      </c>
      <c r="V154" s="109">
        <v>0.01</v>
      </c>
      <c r="W154" s="9" t="s">
        <v>563</v>
      </c>
      <c r="X154" s="1" t="s">
        <v>571</v>
      </c>
      <c r="Y154" s="9" t="str">
        <f t="shared" si="5"/>
        <v>No</v>
      </c>
      <c r="Z154" s="22">
        <v>184</v>
      </c>
      <c r="AA154" s="22">
        <v>770</v>
      </c>
      <c r="AB154" s="22">
        <v>154</v>
      </c>
      <c r="AC154" s="78">
        <f t="shared" si="10"/>
        <v>-30</v>
      </c>
    </row>
    <row r="155" spans="1:30" s="20" customFormat="1">
      <c r="A155" s="27" t="s">
        <v>373</v>
      </c>
      <c r="B155" s="35" t="s">
        <v>350</v>
      </c>
      <c r="D155" s="35" t="s">
        <v>374</v>
      </c>
      <c r="E155" s="35" t="s">
        <v>375</v>
      </c>
      <c r="F155" s="26" t="s">
        <v>376</v>
      </c>
      <c r="N155" s="26"/>
      <c r="O155" s="33">
        <v>0</v>
      </c>
      <c r="P155" s="33">
        <v>8</v>
      </c>
      <c r="Q155" s="33">
        <v>8</v>
      </c>
      <c r="R155" s="37" t="s">
        <v>567</v>
      </c>
      <c r="S155" s="134">
        <v>0.02</v>
      </c>
      <c r="T155" s="20" t="s">
        <v>562</v>
      </c>
      <c r="U155" s="26" t="s">
        <v>571</v>
      </c>
      <c r="V155" s="134">
        <v>0.02</v>
      </c>
      <c r="W155" s="20" t="s">
        <v>563</v>
      </c>
      <c r="X155" s="26" t="s">
        <v>571</v>
      </c>
      <c r="Y155" s="20" t="str">
        <f t="shared" si="5"/>
        <v>Yes</v>
      </c>
      <c r="Z155" s="33">
        <v>1430</v>
      </c>
      <c r="AA155" s="33">
        <v>6000</v>
      </c>
      <c r="AB155" s="33">
        <v>1200</v>
      </c>
      <c r="AC155" s="112">
        <f t="shared" si="10"/>
        <v>-230</v>
      </c>
      <c r="AD155" s="33"/>
    </row>
    <row r="156" spans="1:30">
      <c r="A156" s="3" t="s">
        <v>378</v>
      </c>
      <c r="B156" s="2" t="s">
        <v>377</v>
      </c>
      <c r="D156" s="9" t="s">
        <v>31</v>
      </c>
      <c r="E156" s="9" t="s">
        <v>86</v>
      </c>
      <c r="F156" s="1" t="s">
        <v>89</v>
      </c>
      <c r="G156" s="24" t="s">
        <v>386</v>
      </c>
      <c r="H156" s="24" t="s">
        <v>332</v>
      </c>
      <c r="O156" s="22">
        <v>1</v>
      </c>
      <c r="P156" s="22">
        <v>0</v>
      </c>
      <c r="Q156" s="22">
        <v>0</v>
      </c>
      <c r="R156" s="1" t="s">
        <v>565</v>
      </c>
      <c r="S156" s="133">
        <v>0.01</v>
      </c>
      <c r="T156" s="2" t="s">
        <v>623</v>
      </c>
      <c r="U156" s="1" t="s">
        <v>566</v>
      </c>
      <c r="Y156" s="9" t="str">
        <f t="shared" si="5"/>
        <v>No</v>
      </c>
      <c r="Z156" s="22">
        <v>60</v>
      </c>
      <c r="AA156" s="22">
        <v>225</v>
      </c>
      <c r="AB156" s="22">
        <v>45</v>
      </c>
      <c r="AC156" s="78">
        <f t="shared" si="10"/>
        <v>-15</v>
      </c>
    </row>
    <row r="157" spans="1:30">
      <c r="A157" s="3" t="s">
        <v>379</v>
      </c>
      <c r="B157" s="2" t="s">
        <v>377</v>
      </c>
      <c r="D157" s="2" t="s">
        <v>380</v>
      </c>
      <c r="E157" s="2" t="s">
        <v>23</v>
      </c>
      <c r="G157" s="16" t="s">
        <v>381</v>
      </c>
      <c r="H157" s="17" t="s">
        <v>457</v>
      </c>
      <c r="O157" s="22">
        <v>1</v>
      </c>
      <c r="P157" s="22">
        <v>0</v>
      </c>
      <c r="Q157" s="22">
        <v>0</v>
      </c>
      <c r="R157" s="12" t="s">
        <v>570</v>
      </c>
      <c r="S157" s="135">
        <v>0.01</v>
      </c>
      <c r="T157" s="2" t="s">
        <v>623</v>
      </c>
      <c r="U157" s="12" t="s">
        <v>571</v>
      </c>
      <c r="Y157" s="9" t="str">
        <f t="shared" si="5"/>
        <v>No</v>
      </c>
      <c r="Z157" s="22">
        <v>60</v>
      </c>
      <c r="AA157" s="22">
        <v>175</v>
      </c>
      <c r="AB157" s="22">
        <v>35</v>
      </c>
      <c r="AC157" s="78">
        <f t="shared" si="10"/>
        <v>-25</v>
      </c>
    </row>
    <row r="158" spans="1:30">
      <c r="A158" s="4" t="s">
        <v>381</v>
      </c>
      <c r="B158" s="2" t="s">
        <v>377</v>
      </c>
      <c r="D158" s="2" t="s">
        <v>382</v>
      </c>
      <c r="E158" s="2" t="s">
        <v>61</v>
      </c>
      <c r="F158" s="1" t="s">
        <v>23</v>
      </c>
      <c r="G158" s="17" t="s">
        <v>500</v>
      </c>
      <c r="H158" s="17" t="s">
        <v>504</v>
      </c>
      <c r="O158" s="22">
        <v>3</v>
      </c>
      <c r="P158" s="22">
        <v>0</v>
      </c>
      <c r="Q158" s="22">
        <v>0</v>
      </c>
      <c r="R158" s="12" t="s">
        <v>570</v>
      </c>
      <c r="S158" s="135">
        <v>0.03</v>
      </c>
      <c r="T158" s="2" t="s">
        <v>623</v>
      </c>
      <c r="U158" s="12" t="s">
        <v>571</v>
      </c>
      <c r="Y158" s="9" t="str">
        <f t="shared" si="5"/>
        <v>No</v>
      </c>
      <c r="Z158" s="22">
        <v>320</v>
      </c>
      <c r="AA158" s="22">
        <v>740</v>
      </c>
      <c r="AB158" s="22">
        <v>148</v>
      </c>
      <c r="AC158" s="78">
        <f t="shared" si="10"/>
        <v>-172</v>
      </c>
    </row>
    <row r="159" spans="1:30">
      <c r="A159" s="4" t="s">
        <v>383</v>
      </c>
      <c r="B159" s="2" t="s">
        <v>377</v>
      </c>
      <c r="D159" s="2" t="s">
        <v>384</v>
      </c>
      <c r="E159" s="2" t="s">
        <v>180</v>
      </c>
      <c r="G159" s="17" t="s">
        <v>388</v>
      </c>
      <c r="O159" s="22">
        <v>3</v>
      </c>
      <c r="P159" s="22">
        <v>0</v>
      </c>
      <c r="Q159" s="22">
        <v>0</v>
      </c>
      <c r="R159" s="12" t="s">
        <v>567</v>
      </c>
      <c r="S159" s="135">
        <v>0.03</v>
      </c>
      <c r="T159" s="2" t="s">
        <v>623</v>
      </c>
      <c r="U159" s="12" t="s">
        <v>572</v>
      </c>
      <c r="Y159" s="9" t="str">
        <f t="shared" ref="Y159:Y190" si="11">IF(G159="","Yes","No")</f>
        <v>No</v>
      </c>
      <c r="Z159" s="22">
        <v>560</v>
      </c>
      <c r="AA159" s="22">
        <v>750</v>
      </c>
      <c r="AB159" s="22">
        <v>150</v>
      </c>
      <c r="AC159" s="78">
        <f t="shared" si="10"/>
        <v>-410</v>
      </c>
    </row>
    <row r="160" spans="1:30">
      <c r="A160" s="4" t="s">
        <v>386</v>
      </c>
      <c r="B160" s="2" t="s">
        <v>377</v>
      </c>
      <c r="D160" s="2" t="s">
        <v>387</v>
      </c>
      <c r="E160" s="2" t="s">
        <v>31</v>
      </c>
      <c r="F160" s="1" t="s">
        <v>139</v>
      </c>
      <c r="G160" s="17" t="s">
        <v>339</v>
      </c>
      <c r="H160" s="17" t="s">
        <v>237</v>
      </c>
      <c r="I160" s="17" t="s">
        <v>299</v>
      </c>
      <c r="J160" s="17" t="s">
        <v>388</v>
      </c>
      <c r="K160" s="17" t="s">
        <v>393</v>
      </c>
      <c r="O160" s="22">
        <v>3</v>
      </c>
      <c r="P160" s="22">
        <v>0</v>
      </c>
      <c r="Q160" s="22">
        <v>0</v>
      </c>
      <c r="R160" s="12" t="s">
        <v>565</v>
      </c>
      <c r="S160" s="135">
        <v>0.03</v>
      </c>
      <c r="T160" s="2" t="s">
        <v>623</v>
      </c>
      <c r="U160" s="12" t="s">
        <v>566</v>
      </c>
      <c r="Y160" s="9" t="str">
        <f t="shared" si="11"/>
        <v>No</v>
      </c>
      <c r="Z160" s="22">
        <v>320</v>
      </c>
      <c r="AA160" s="22">
        <v>940</v>
      </c>
      <c r="AB160" s="22">
        <v>188</v>
      </c>
      <c r="AC160" s="78">
        <f t="shared" si="10"/>
        <v>-132</v>
      </c>
    </row>
    <row r="161" spans="1:30">
      <c r="A161" s="5" t="s">
        <v>388</v>
      </c>
      <c r="B161" s="2" t="s">
        <v>377</v>
      </c>
      <c r="D161" s="2" t="s">
        <v>239</v>
      </c>
      <c r="E161" s="2" t="s">
        <v>385</v>
      </c>
      <c r="F161" s="1" t="s">
        <v>389</v>
      </c>
      <c r="G161" s="17" t="s">
        <v>522</v>
      </c>
      <c r="O161" s="22">
        <v>10</v>
      </c>
      <c r="P161" s="22">
        <v>0</v>
      </c>
      <c r="Q161" s="22">
        <v>0</v>
      </c>
      <c r="R161" s="12" t="s">
        <v>567</v>
      </c>
      <c r="S161" s="135">
        <v>0.06</v>
      </c>
      <c r="T161" s="2" t="s">
        <v>623</v>
      </c>
      <c r="U161" s="12" t="s">
        <v>572</v>
      </c>
      <c r="Y161" s="9" t="str">
        <f t="shared" si="11"/>
        <v>No</v>
      </c>
      <c r="Z161" s="22">
        <v>2080</v>
      </c>
      <c r="AA161" s="22">
        <v>5900</v>
      </c>
      <c r="AB161" s="22">
        <v>1180</v>
      </c>
      <c r="AC161" s="78">
        <f t="shared" si="10"/>
        <v>-900</v>
      </c>
    </row>
    <row r="162" spans="1:30">
      <c r="A162" s="5" t="s">
        <v>390</v>
      </c>
      <c r="B162" s="2" t="s">
        <v>377</v>
      </c>
      <c r="D162" s="2" t="s">
        <v>391</v>
      </c>
      <c r="E162" s="2" t="s">
        <v>115</v>
      </c>
      <c r="F162" s="1" t="s">
        <v>392</v>
      </c>
      <c r="O162" s="22">
        <v>10</v>
      </c>
      <c r="P162" s="22">
        <v>0</v>
      </c>
      <c r="Q162" s="22">
        <v>0</v>
      </c>
      <c r="R162" s="12" t="s">
        <v>565</v>
      </c>
      <c r="S162" s="135">
        <v>0.05</v>
      </c>
      <c r="T162" s="2" t="s">
        <v>561</v>
      </c>
      <c r="U162" s="12" t="s">
        <v>571</v>
      </c>
      <c r="Y162" s="9" t="str">
        <f t="shared" si="11"/>
        <v>Yes</v>
      </c>
      <c r="Z162" s="22">
        <v>1680</v>
      </c>
      <c r="AA162" s="22">
        <v>7800</v>
      </c>
      <c r="AB162" s="22">
        <v>1560</v>
      </c>
      <c r="AC162" s="78">
        <f t="shared" si="10"/>
        <v>-120</v>
      </c>
    </row>
    <row r="163" spans="1:30" s="20" customFormat="1">
      <c r="A163" s="27" t="s">
        <v>393</v>
      </c>
      <c r="B163" s="35" t="s">
        <v>377</v>
      </c>
      <c r="D163" s="35" t="s">
        <v>239</v>
      </c>
      <c r="E163" s="35" t="s">
        <v>394</v>
      </c>
      <c r="F163" s="26" t="s">
        <v>395</v>
      </c>
      <c r="N163" s="26"/>
      <c r="O163" s="33">
        <v>8</v>
      </c>
      <c r="P163" s="33">
        <v>0</v>
      </c>
      <c r="Q163" s="33">
        <v>0</v>
      </c>
      <c r="R163" s="37" t="s">
        <v>565</v>
      </c>
      <c r="S163" s="136">
        <v>0.08</v>
      </c>
      <c r="T163" s="35" t="s">
        <v>623</v>
      </c>
      <c r="U163" s="37" t="s">
        <v>566</v>
      </c>
      <c r="V163" s="134"/>
      <c r="X163" s="26"/>
      <c r="Y163" s="20" t="str">
        <f t="shared" si="11"/>
        <v>Yes</v>
      </c>
      <c r="Z163" s="33">
        <v>1440</v>
      </c>
      <c r="AA163" s="33">
        <v>4940</v>
      </c>
      <c r="AB163" s="33">
        <v>988</v>
      </c>
      <c r="AC163" s="112">
        <f t="shared" si="10"/>
        <v>-452</v>
      </c>
      <c r="AD163" s="33"/>
    </row>
    <row r="164" spans="1:30">
      <c r="A164" s="3" t="s">
        <v>397</v>
      </c>
      <c r="B164" s="9" t="s">
        <v>396</v>
      </c>
      <c r="D164" s="9" t="s">
        <v>139</v>
      </c>
      <c r="E164" s="9" t="s">
        <v>61</v>
      </c>
      <c r="G164" s="24" t="s">
        <v>402</v>
      </c>
      <c r="O164" s="22">
        <v>0</v>
      </c>
      <c r="P164" s="22">
        <v>0</v>
      </c>
      <c r="Q164" s="22">
        <v>1</v>
      </c>
      <c r="R164" s="1" t="s">
        <v>565</v>
      </c>
      <c r="S164" s="133">
        <v>0.01</v>
      </c>
      <c r="T164" s="2" t="s">
        <v>626</v>
      </c>
      <c r="U164" s="1" t="s">
        <v>566</v>
      </c>
      <c r="Y164" s="9" t="str">
        <f t="shared" si="11"/>
        <v>No</v>
      </c>
      <c r="Z164" s="22">
        <v>60</v>
      </c>
      <c r="AA164" s="22">
        <v>225</v>
      </c>
      <c r="AB164" s="22">
        <v>45</v>
      </c>
      <c r="AC164" s="78">
        <f t="shared" si="10"/>
        <v>-15</v>
      </c>
    </row>
    <row r="165" spans="1:30">
      <c r="A165" s="3" t="s">
        <v>398</v>
      </c>
      <c r="B165" s="2" t="s">
        <v>396</v>
      </c>
      <c r="D165" s="2" t="s">
        <v>86</v>
      </c>
      <c r="E165" s="2" t="s">
        <v>53</v>
      </c>
      <c r="G165" s="16" t="s">
        <v>401</v>
      </c>
      <c r="O165" s="22">
        <v>0</v>
      </c>
      <c r="P165" s="22">
        <v>0</v>
      </c>
      <c r="Q165" s="22">
        <v>1</v>
      </c>
      <c r="R165" s="12" t="s">
        <v>570</v>
      </c>
      <c r="S165" s="135">
        <v>0.01</v>
      </c>
      <c r="T165" s="2" t="s">
        <v>626</v>
      </c>
      <c r="U165" s="12" t="s">
        <v>571</v>
      </c>
      <c r="Y165" s="9" t="str">
        <f t="shared" si="11"/>
        <v>No</v>
      </c>
      <c r="Z165" s="22">
        <v>60</v>
      </c>
      <c r="AA165" s="22">
        <v>175</v>
      </c>
      <c r="AB165" s="22">
        <v>35</v>
      </c>
      <c r="AC165" s="78">
        <f t="shared" si="10"/>
        <v>-25</v>
      </c>
    </row>
    <row r="166" spans="1:30">
      <c r="A166" s="3" t="s">
        <v>399</v>
      </c>
      <c r="B166" s="2" t="s">
        <v>396</v>
      </c>
      <c r="D166" s="2" t="s">
        <v>59</v>
      </c>
      <c r="E166" s="2" t="s">
        <v>400</v>
      </c>
      <c r="F166" s="1" t="s">
        <v>88</v>
      </c>
      <c r="G166" s="17" t="s">
        <v>407</v>
      </c>
      <c r="H166" s="17" t="s">
        <v>474</v>
      </c>
      <c r="I166" s="17" t="s">
        <v>524</v>
      </c>
      <c r="O166" s="22">
        <v>0</v>
      </c>
      <c r="P166" s="22">
        <v>0</v>
      </c>
      <c r="Q166" s="22">
        <v>1</v>
      </c>
      <c r="R166" s="12" t="s">
        <v>567</v>
      </c>
      <c r="S166" s="135">
        <v>0.01</v>
      </c>
      <c r="T166" s="2" t="s">
        <v>626</v>
      </c>
      <c r="U166" s="12" t="s">
        <v>572</v>
      </c>
      <c r="Y166" s="9" t="str">
        <f t="shared" si="11"/>
        <v>No</v>
      </c>
      <c r="Z166" s="22">
        <v>120</v>
      </c>
      <c r="AA166" s="22">
        <v>200</v>
      </c>
      <c r="AB166" s="22">
        <v>40</v>
      </c>
      <c r="AC166" s="78">
        <f t="shared" si="10"/>
        <v>-80</v>
      </c>
    </row>
    <row r="167" spans="1:30">
      <c r="A167" s="4" t="s">
        <v>402</v>
      </c>
      <c r="B167" s="2" t="s">
        <v>396</v>
      </c>
      <c r="D167" s="2" t="s">
        <v>403</v>
      </c>
      <c r="E167" s="2" t="s">
        <v>404</v>
      </c>
      <c r="F167" s="1" t="s">
        <v>213</v>
      </c>
      <c r="G167" s="17" t="s">
        <v>407</v>
      </c>
      <c r="O167" s="22">
        <v>0</v>
      </c>
      <c r="P167" s="22">
        <v>0</v>
      </c>
      <c r="Q167" s="22">
        <v>3</v>
      </c>
      <c r="R167" s="12" t="s">
        <v>565</v>
      </c>
      <c r="S167" s="135">
        <v>0.03</v>
      </c>
      <c r="T167" s="2" t="s">
        <v>626</v>
      </c>
      <c r="U167" s="12" t="s">
        <v>566</v>
      </c>
      <c r="Y167" s="9" t="str">
        <f t="shared" si="11"/>
        <v>No</v>
      </c>
      <c r="Z167" s="22">
        <v>260</v>
      </c>
      <c r="AA167" s="22">
        <v>940</v>
      </c>
      <c r="AB167" s="22">
        <v>188</v>
      </c>
      <c r="AC167" s="78">
        <f t="shared" si="10"/>
        <v>-72</v>
      </c>
    </row>
    <row r="168" spans="1:30">
      <c r="A168" s="4" t="s">
        <v>401</v>
      </c>
      <c r="B168" s="2" t="s">
        <v>396</v>
      </c>
      <c r="D168" s="2" t="s">
        <v>405</v>
      </c>
      <c r="E168" s="2" t="s">
        <v>406</v>
      </c>
      <c r="F168" s="1" t="s">
        <v>53</v>
      </c>
      <c r="G168" s="17" t="s">
        <v>269</v>
      </c>
      <c r="H168" s="16" t="s">
        <v>332</v>
      </c>
      <c r="I168" s="17" t="s">
        <v>407</v>
      </c>
      <c r="O168" s="22">
        <v>0</v>
      </c>
      <c r="P168" s="22">
        <v>0</v>
      </c>
      <c r="Q168" s="22">
        <v>3</v>
      </c>
      <c r="R168" s="12" t="s">
        <v>570</v>
      </c>
      <c r="S168" s="135">
        <v>0.03</v>
      </c>
      <c r="T168" s="2" t="s">
        <v>626</v>
      </c>
      <c r="U168" s="12" t="s">
        <v>571</v>
      </c>
      <c r="Y168" s="9" t="str">
        <f t="shared" si="11"/>
        <v>No</v>
      </c>
      <c r="Z168" s="22">
        <v>260</v>
      </c>
      <c r="AA168" s="22">
        <v>740</v>
      </c>
      <c r="AB168" s="22">
        <v>148</v>
      </c>
      <c r="AC168" s="78">
        <f t="shared" si="10"/>
        <v>-112</v>
      </c>
    </row>
    <row r="169" spans="1:30">
      <c r="A169" s="5" t="s">
        <v>407</v>
      </c>
      <c r="B169" s="2" t="s">
        <v>396</v>
      </c>
      <c r="D169" s="2" t="s">
        <v>408</v>
      </c>
      <c r="E169" s="2" t="s">
        <v>409</v>
      </c>
      <c r="F169" s="1" t="s">
        <v>335</v>
      </c>
      <c r="O169" s="22">
        <v>0</v>
      </c>
      <c r="P169" s="22">
        <v>0</v>
      </c>
      <c r="Q169" s="22">
        <v>10</v>
      </c>
      <c r="R169" s="12" t="s">
        <v>567</v>
      </c>
      <c r="S169" s="135">
        <v>0.06</v>
      </c>
      <c r="T169" s="2" t="s">
        <v>626</v>
      </c>
      <c r="U169" s="12" t="s">
        <v>572</v>
      </c>
      <c r="Y169" s="9" t="str">
        <f t="shared" si="11"/>
        <v>Yes</v>
      </c>
      <c r="Z169" s="22">
        <v>1090</v>
      </c>
      <c r="AA169" s="22">
        <v>5900</v>
      </c>
      <c r="AB169" s="22">
        <v>1180</v>
      </c>
      <c r="AC169" s="78">
        <f t="shared" si="10"/>
        <v>90</v>
      </c>
    </row>
    <row r="170" spans="1:30">
      <c r="A170" s="5" t="s">
        <v>410</v>
      </c>
      <c r="B170" s="2" t="s">
        <v>396</v>
      </c>
      <c r="D170" s="2" t="s">
        <v>194</v>
      </c>
      <c r="E170" s="2" t="s">
        <v>296</v>
      </c>
      <c r="F170" s="1" t="s">
        <v>411</v>
      </c>
      <c r="O170" s="22">
        <v>0</v>
      </c>
      <c r="P170" s="22">
        <v>0</v>
      </c>
      <c r="Q170" s="22">
        <v>8</v>
      </c>
      <c r="R170" s="12" t="s">
        <v>565</v>
      </c>
      <c r="S170" s="135">
        <v>0.08</v>
      </c>
      <c r="T170" s="2" t="s">
        <v>626</v>
      </c>
      <c r="U170" s="12" t="s">
        <v>566</v>
      </c>
      <c r="Y170" s="9" t="str">
        <f t="shared" si="11"/>
        <v>Yes</v>
      </c>
      <c r="Z170" s="22">
        <v>1320</v>
      </c>
      <c r="AA170" s="22">
        <v>4940</v>
      </c>
      <c r="AB170" s="22">
        <v>988</v>
      </c>
      <c r="AC170" s="78">
        <f t="shared" si="10"/>
        <v>-332</v>
      </c>
    </row>
    <row r="171" spans="1:30" s="20" customFormat="1">
      <c r="A171" s="28" t="s">
        <v>412</v>
      </c>
      <c r="B171" s="35" t="s">
        <v>396</v>
      </c>
      <c r="D171" s="35" t="s">
        <v>413</v>
      </c>
      <c r="E171" s="35" t="s">
        <v>254</v>
      </c>
      <c r="F171" s="26" t="s">
        <v>414</v>
      </c>
      <c r="N171" s="26"/>
      <c r="O171" s="33">
        <v>0</v>
      </c>
      <c r="P171" s="33">
        <v>0</v>
      </c>
      <c r="Q171" s="33">
        <v>20</v>
      </c>
      <c r="R171" s="37" t="s">
        <v>567</v>
      </c>
      <c r="S171" s="136">
        <v>0.1</v>
      </c>
      <c r="T171" s="35" t="s">
        <v>626</v>
      </c>
      <c r="U171" s="37" t="s">
        <v>572</v>
      </c>
      <c r="V171" s="134"/>
      <c r="X171" s="26"/>
      <c r="Y171" s="20" t="str">
        <f t="shared" si="11"/>
        <v>Yes</v>
      </c>
      <c r="Z171" s="33">
        <v>5770</v>
      </c>
      <c r="AA171" s="33">
        <v>14000</v>
      </c>
      <c r="AB171" s="33">
        <v>2800</v>
      </c>
      <c r="AC171" s="112">
        <f t="shared" si="10"/>
        <v>-2970</v>
      </c>
      <c r="AD171" s="33"/>
    </row>
    <row r="172" spans="1:30">
      <c r="A172" s="3" t="s">
        <v>416</v>
      </c>
      <c r="B172" s="9" t="s">
        <v>415</v>
      </c>
      <c r="D172" s="9" t="s">
        <v>81</v>
      </c>
      <c r="E172" s="9" t="s">
        <v>32</v>
      </c>
      <c r="F172" s="1" t="s">
        <v>89</v>
      </c>
      <c r="G172" s="24" t="s">
        <v>210</v>
      </c>
      <c r="O172" s="22">
        <v>0</v>
      </c>
      <c r="P172" s="22">
        <v>1</v>
      </c>
      <c r="Q172" s="22">
        <v>0</v>
      </c>
      <c r="R172" s="1" t="s">
        <v>565</v>
      </c>
      <c r="S172" s="133">
        <v>0.01</v>
      </c>
      <c r="T172" s="2" t="s">
        <v>624</v>
      </c>
      <c r="U172" s="1" t="s">
        <v>566</v>
      </c>
      <c r="Y172" s="9" t="str">
        <f t="shared" si="11"/>
        <v>No</v>
      </c>
      <c r="Z172" s="22">
        <v>120</v>
      </c>
      <c r="AA172" s="22">
        <v>225</v>
      </c>
      <c r="AB172" s="22">
        <v>45</v>
      </c>
      <c r="AC172" s="78">
        <f t="shared" si="10"/>
        <v>-75</v>
      </c>
    </row>
    <row r="173" spans="1:30">
      <c r="A173" s="3" t="s">
        <v>417</v>
      </c>
      <c r="B173" s="2" t="s">
        <v>415</v>
      </c>
      <c r="D173" s="2" t="s">
        <v>223</v>
      </c>
      <c r="E173" s="2" t="s">
        <v>108</v>
      </c>
      <c r="G173" s="16" t="s">
        <v>214</v>
      </c>
      <c r="O173" s="22">
        <v>0</v>
      </c>
      <c r="P173" s="22">
        <v>1</v>
      </c>
      <c r="Q173" s="22">
        <v>0</v>
      </c>
      <c r="R173" s="12" t="s">
        <v>565</v>
      </c>
      <c r="S173" s="135">
        <v>0.01</v>
      </c>
      <c r="T173" s="2" t="s">
        <v>625</v>
      </c>
      <c r="U173" s="12" t="s">
        <v>566</v>
      </c>
      <c r="Y173" s="9" t="str">
        <f t="shared" si="11"/>
        <v>No</v>
      </c>
      <c r="Z173" s="22">
        <v>120</v>
      </c>
      <c r="AA173" s="22">
        <v>225</v>
      </c>
      <c r="AB173" s="22">
        <v>45</v>
      </c>
      <c r="AC173" s="78">
        <f t="shared" si="10"/>
        <v>-75</v>
      </c>
    </row>
    <row r="174" spans="1:30">
      <c r="A174" s="3" t="s">
        <v>419</v>
      </c>
      <c r="B174" s="2" t="s">
        <v>415</v>
      </c>
      <c r="D174" s="2" t="s">
        <v>82</v>
      </c>
      <c r="E174" s="2" t="s">
        <v>108</v>
      </c>
      <c r="G174" s="16" t="s">
        <v>227</v>
      </c>
      <c r="O174" s="22">
        <v>0</v>
      </c>
      <c r="P174" s="22">
        <v>1</v>
      </c>
      <c r="Q174" s="22">
        <v>0</v>
      </c>
      <c r="R174" s="12" t="s">
        <v>570</v>
      </c>
      <c r="S174" s="135">
        <v>0.01</v>
      </c>
      <c r="T174" s="2" t="s">
        <v>628</v>
      </c>
      <c r="U174" s="12" t="s">
        <v>571</v>
      </c>
      <c r="Y174" s="9" t="str">
        <f t="shared" si="11"/>
        <v>No</v>
      </c>
      <c r="Z174" s="22">
        <v>120</v>
      </c>
      <c r="AA174" s="22">
        <v>175</v>
      </c>
      <c r="AB174" s="22">
        <v>35</v>
      </c>
      <c r="AC174" s="78">
        <f t="shared" si="10"/>
        <v>-85</v>
      </c>
    </row>
    <row r="175" spans="1:30">
      <c r="A175" s="3" t="s">
        <v>420</v>
      </c>
      <c r="B175" s="2" t="s">
        <v>415</v>
      </c>
      <c r="D175" s="2" t="s">
        <v>421</v>
      </c>
      <c r="E175" s="2" t="s">
        <v>24</v>
      </c>
      <c r="G175" s="17" t="s">
        <v>200</v>
      </c>
      <c r="H175" s="2" t="s">
        <v>422</v>
      </c>
      <c r="I175" s="2"/>
      <c r="O175" s="22">
        <v>0</v>
      </c>
      <c r="P175" s="22">
        <v>3</v>
      </c>
      <c r="Q175" s="22">
        <v>0</v>
      </c>
      <c r="R175" s="12" t="s">
        <v>567</v>
      </c>
      <c r="Y175" s="9" t="str">
        <f t="shared" si="11"/>
        <v>No</v>
      </c>
      <c r="Z175" s="22">
        <v>60</v>
      </c>
      <c r="AA175" s="22">
        <v>450</v>
      </c>
      <c r="AB175" s="22">
        <v>90</v>
      </c>
      <c r="AC175" s="78">
        <f t="shared" si="10"/>
        <v>30</v>
      </c>
    </row>
    <row r="176" spans="1:30">
      <c r="A176" s="3" t="s">
        <v>422</v>
      </c>
      <c r="B176" s="2" t="s">
        <v>415</v>
      </c>
      <c r="D176" s="2" t="s">
        <v>201</v>
      </c>
      <c r="E176" s="2" t="s">
        <v>424</v>
      </c>
      <c r="F176" s="1" t="s">
        <v>425</v>
      </c>
      <c r="G176" s="17" t="s">
        <v>423</v>
      </c>
      <c r="O176" s="22">
        <v>0</v>
      </c>
      <c r="P176" s="22">
        <v>4</v>
      </c>
      <c r="Q176" s="22">
        <v>0</v>
      </c>
      <c r="R176" s="12" t="s">
        <v>567</v>
      </c>
      <c r="Y176" s="9" t="str">
        <f t="shared" si="11"/>
        <v>No</v>
      </c>
      <c r="Z176" s="22">
        <v>120</v>
      </c>
      <c r="AA176" s="22">
        <v>700</v>
      </c>
      <c r="AB176" s="22">
        <v>140</v>
      </c>
      <c r="AC176" s="78">
        <f t="shared" si="10"/>
        <v>20</v>
      </c>
    </row>
    <row r="177" spans="1:30">
      <c r="A177" s="5" t="s">
        <v>423</v>
      </c>
      <c r="B177" s="2" t="s">
        <v>415</v>
      </c>
      <c r="D177" s="2" t="s">
        <v>426</v>
      </c>
      <c r="E177" s="2" t="s">
        <v>427</v>
      </c>
      <c r="F177" s="1" t="s">
        <v>361</v>
      </c>
      <c r="O177" s="22">
        <v>0</v>
      </c>
      <c r="P177" s="22">
        <v>15</v>
      </c>
      <c r="Q177" s="22">
        <v>0</v>
      </c>
      <c r="R177" s="12" t="s">
        <v>567</v>
      </c>
      <c r="Y177" s="9" t="str">
        <f t="shared" si="11"/>
        <v>Yes</v>
      </c>
      <c r="Z177" s="22">
        <v>1530</v>
      </c>
      <c r="AA177" s="22">
        <v>7500</v>
      </c>
      <c r="AB177" s="22">
        <v>1500</v>
      </c>
      <c r="AC177" s="78">
        <f t="shared" si="10"/>
        <v>-30</v>
      </c>
    </row>
    <row r="178" spans="1:30">
      <c r="A178" s="5" t="s">
        <v>428</v>
      </c>
      <c r="B178" s="2" t="s">
        <v>415</v>
      </c>
      <c r="D178" s="2" t="s">
        <v>429</v>
      </c>
      <c r="E178" s="2" t="s">
        <v>430</v>
      </c>
      <c r="F178" s="1" t="s">
        <v>116</v>
      </c>
      <c r="O178" s="22">
        <v>0</v>
      </c>
      <c r="P178" s="22">
        <v>8</v>
      </c>
      <c r="Q178" s="22">
        <v>0</v>
      </c>
      <c r="R178" s="12" t="s">
        <v>570</v>
      </c>
      <c r="S178" s="133">
        <v>0.08</v>
      </c>
      <c r="T178" s="9" t="s">
        <v>625</v>
      </c>
      <c r="U178" s="1" t="s">
        <v>571</v>
      </c>
      <c r="Y178" s="9" t="str">
        <f t="shared" si="11"/>
        <v>Yes</v>
      </c>
      <c r="Z178" s="22">
        <v>1560</v>
      </c>
      <c r="AA178" s="22">
        <v>4180</v>
      </c>
      <c r="AB178" s="22">
        <v>836</v>
      </c>
      <c r="AC178" s="78">
        <f t="shared" si="10"/>
        <v>-724</v>
      </c>
    </row>
    <row r="179" spans="1:30" s="20" customFormat="1">
      <c r="A179" s="27" t="s">
        <v>431</v>
      </c>
      <c r="B179" s="35" t="s">
        <v>415</v>
      </c>
      <c r="D179" s="35" t="s">
        <v>97</v>
      </c>
      <c r="E179" s="35" t="s">
        <v>430</v>
      </c>
      <c r="F179" s="26" t="s">
        <v>116</v>
      </c>
      <c r="N179" s="26"/>
      <c r="O179" s="33">
        <v>0</v>
      </c>
      <c r="P179" s="33">
        <v>8</v>
      </c>
      <c r="Q179" s="33">
        <v>0</v>
      </c>
      <c r="R179" s="37" t="s">
        <v>570</v>
      </c>
      <c r="S179" s="134">
        <v>0.08</v>
      </c>
      <c r="T179" s="20" t="s">
        <v>628</v>
      </c>
      <c r="U179" s="26" t="s">
        <v>571</v>
      </c>
      <c r="V179" s="134"/>
      <c r="X179" s="26"/>
      <c r="Y179" s="20" t="str">
        <f t="shared" si="11"/>
        <v>Yes</v>
      </c>
      <c r="Z179" s="33">
        <v>1560</v>
      </c>
      <c r="AA179" s="33">
        <v>4180</v>
      </c>
      <c r="AB179" s="33">
        <v>836</v>
      </c>
      <c r="AC179" s="112">
        <f t="shared" si="10"/>
        <v>-724</v>
      </c>
      <c r="AD179" s="33"/>
    </row>
    <row r="180" spans="1:30">
      <c r="A180" s="3" t="s">
        <v>433</v>
      </c>
      <c r="B180" s="9" t="s">
        <v>432</v>
      </c>
      <c r="D180" s="9" t="s">
        <v>223</v>
      </c>
      <c r="E180" s="9" t="s">
        <v>108</v>
      </c>
      <c r="G180" s="24" t="s">
        <v>216</v>
      </c>
      <c r="H180" s="17" t="s">
        <v>501</v>
      </c>
      <c r="O180" s="22">
        <v>0</v>
      </c>
      <c r="P180" s="22">
        <v>1</v>
      </c>
      <c r="Q180" s="22">
        <v>0</v>
      </c>
      <c r="R180" s="1" t="s">
        <v>565</v>
      </c>
      <c r="S180" s="133">
        <v>0.01</v>
      </c>
      <c r="T180" s="9" t="s">
        <v>628</v>
      </c>
      <c r="U180" s="1" t="s">
        <v>566</v>
      </c>
      <c r="Y180" s="9" t="str">
        <f t="shared" si="11"/>
        <v>No</v>
      </c>
      <c r="Z180" s="22">
        <v>120</v>
      </c>
      <c r="AA180" s="22">
        <v>225</v>
      </c>
      <c r="AB180" s="22">
        <v>45</v>
      </c>
      <c r="AC180" s="78">
        <f t="shared" si="10"/>
        <v>-75</v>
      </c>
    </row>
    <row r="181" spans="1:30">
      <c r="A181" s="3" t="s">
        <v>434</v>
      </c>
      <c r="B181" s="2" t="s">
        <v>432</v>
      </c>
      <c r="D181" s="2" t="s">
        <v>113</v>
      </c>
      <c r="E181" s="2" t="s">
        <v>25</v>
      </c>
      <c r="F181" s="1" t="s">
        <v>32</v>
      </c>
      <c r="G181" s="16" t="s">
        <v>224</v>
      </c>
      <c r="O181" s="22">
        <v>0</v>
      </c>
      <c r="P181" s="22">
        <v>1</v>
      </c>
      <c r="Q181" s="22">
        <v>0</v>
      </c>
      <c r="R181" s="12" t="s">
        <v>570</v>
      </c>
      <c r="S181" s="135">
        <v>0.01</v>
      </c>
      <c r="T181" s="2" t="s">
        <v>625</v>
      </c>
      <c r="U181" s="12" t="s">
        <v>571</v>
      </c>
      <c r="Y181" s="9" t="str">
        <f t="shared" si="11"/>
        <v>No</v>
      </c>
      <c r="Z181" s="22">
        <v>120</v>
      </c>
      <c r="AA181" s="22">
        <v>175</v>
      </c>
      <c r="AB181" s="22">
        <v>35</v>
      </c>
      <c r="AC181" s="78">
        <f t="shared" si="10"/>
        <v>-85</v>
      </c>
    </row>
    <row r="182" spans="1:30">
      <c r="A182" s="3" t="s">
        <v>435</v>
      </c>
      <c r="B182" s="2" t="s">
        <v>432</v>
      </c>
      <c r="D182" s="2" t="s">
        <v>82</v>
      </c>
      <c r="E182" s="2" t="s">
        <v>25</v>
      </c>
      <c r="F182" s="1" t="s">
        <v>89</v>
      </c>
      <c r="G182" s="16" t="s">
        <v>221</v>
      </c>
      <c r="O182" s="22">
        <v>0</v>
      </c>
      <c r="P182" s="22">
        <v>1</v>
      </c>
      <c r="Q182" s="22">
        <v>0</v>
      </c>
      <c r="R182" s="12" t="s">
        <v>570</v>
      </c>
      <c r="S182" s="135">
        <v>0.01</v>
      </c>
      <c r="T182" s="2" t="s">
        <v>624</v>
      </c>
      <c r="U182" s="12" t="s">
        <v>571</v>
      </c>
      <c r="Y182" s="9" t="str">
        <f t="shared" si="11"/>
        <v>No</v>
      </c>
      <c r="Z182" s="22">
        <v>120</v>
      </c>
      <c r="AA182" s="22">
        <v>175</v>
      </c>
      <c r="AB182" s="22">
        <v>35</v>
      </c>
      <c r="AC182" s="78">
        <f t="shared" si="10"/>
        <v>-85</v>
      </c>
    </row>
    <row r="183" spans="1:30">
      <c r="A183" s="5" t="s">
        <v>436</v>
      </c>
      <c r="B183" s="2" t="s">
        <v>432</v>
      </c>
      <c r="D183" s="2" t="s">
        <v>437</v>
      </c>
      <c r="E183" s="2" t="s">
        <v>68</v>
      </c>
      <c r="F183" s="1" t="s">
        <v>84</v>
      </c>
      <c r="G183" s="66" t="s">
        <v>440</v>
      </c>
      <c r="O183" s="22">
        <v>0</v>
      </c>
      <c r="P183" s="22">
        <v>10</v>
      </c>
      <c r="Q183" s="22">
        <v>0</v>
      </c>
      <c r="R183" s="12" t="s">
        <v>567</v>
      </c>
      <c r="S183" s="135">
        <v>0.06</v>
      </c>
      <c r="T183" s="2" t="s">
        <v>624</v>
      </c>
      <c r="U183" s="12" t="s">
        <v>572</v>
      </c>
      <c r="Y183" s="9" t="str">
        <f t="shared" si="11"/>
        <v>No</v>
      </c>
      <c r="Z183" s="22">
        <v>1890</v>
      </c>
      <c r="AA183" s="22">
        <v>5900</v>
      </c>
      <c r="AB183" s="22">
        <v>1180</v>
      </c>
      <c r="AC183" s="78">
        <f t="shared" si="10"/>
        <v>-710</v>
      </c>
    </row>
    <row r="184" spans="1:30">
      <c r="A184" s="5" t="s">
        <v>438</v>
      </c>
      <c r="B184" s="2" t="s">
        <v>432</v>
      </c>
      <c r="D184" s="2" t="s">
        <v>437</v>
      </c>
      <c r="E184" s="2" t="s">
        <v>64</v>
      </c>
      <c r="F184" s="1" t="s">
        <v>84</v>
      </c>
      <c r="G184" s="66" t="s">
        <v>441</v>
      </c>
      <c r="O184" s="22">
        <v>0</v>
      </c>
      <c r="P184" s="22">
        <v>10</v>
      </c>
      <c r="Q184" s="22">
        <v>0</v>
      </c>
      <c r="R184" s="12" t="s">
        <v>567</v>
      </c>
      <c r="S184" s="135">
        <v>0.06</v>
      </c>
      <c r="T184" s="2" t="s">
        <v>625</v>
      </c>
      <c r="U184" s="12" t="s">
        <v>572</v>
      </c>
      <c r="Y184" s="9" t="str">
        <f t="shared" si="11"/>
        <v>No</v>
      </c>
      <c r="Z184" s="22">
        <v>1890</v>
      </c>
      <c r="AA184" s="22">
        <v>5900</v>
      </c>
      <c r="AB184" s="22">
        <v>1180</v>
      </c>
      <c r="AC184" s="78">
        <f t="shared" si="10"/>
        <v>-710</v>
      </c>
    </row>
    <row r="185" spans="1:30">
      <c r="A185" s="5" t="s">
        <v>439</v>
      </c>
      <c r="B185" s="2" t="s">
        <v>432</v>
      </c>
      <c r="D185" s="2" t="s">
        <v>437</v>
      </c>
      <c r="E185" s="2" t="s">
        <v>197</v>
      </c>
      <c r="F185" s="1" t="s">
        <v>84</v>
      </c>
      <c r="G185" s="66" t="s">
        <v>442</v>
      </c>
      <c r="O185" s="22">
        <v>0</v>
      </c>
      <c r="P185" s="22">
        <v>10</v>
      </c>
      <c r="Q185" s="22">
        <v>0</v>
      </c>
      <c r="R185" s="12" t="s">
        <v>567</v>
      </c>
      <c r="S185" s="135">
        <v>0.06</v>
      </c>
      <c r="T185" s="2" t="s">
        <v>628</v>
      </c>
      <c r="U185" s="12" t="s">
        <v>572</v>
      </c>
      <c r="Y185" s="9" t="str">
        <f t="shared" si="11"/>
        <v>No</v>
      </c>
      <c r="Z185" s="22">
        <v>1890</v>
      </c>
      <c r="AA185" s="22">
        <v>5900</v>
      </c>
      <c r="AB185" s="22">
        <v>1180</v>
      </c>
      <c r="AC185" s="78">
        <f t="shared" si="10"/>
        <v>-710</v>
      </c>
    </row>
    <row r="186" spans="1:30">
      <c r="A186" s="6" t="s">
        <v>440</v>
      </c>
      <c r="B186" s="2" t="s">
        <v>432</v>
      </c>
      <c r="D186" s="2" t="s">
        <v>443</v>
      </c>
      <c r="E186" s="2" t="s">
        <v>345</v>
      </c>
      <c r="F186" s="1" t="s">
        <v>95</v>
      </c>
      <c r="O186" s="22">
        <v>0</v>
      </c>
      <c r="P186" s="22">
        <v>20</v>
      </c>
      <c r="Q186" s="22">
        <v>0</v>
      </c>
      <c r="R186" s="12" t="s">
        <v>567</v>
      </c>
      <c r="S186" s="135">
        <v>0.1</v>
      </c>
      <c r="T186" s="2" t="s">
        <v>624</v>
      </c>
      <c r="U186" s="12" t="s">
        <v>572</v>
      </c>
      <c r="Y186" s="9" t="str">
        <f t="shared" si="11"/>
        <v>Yes</v>
      </c>
      <c r="Z186" s="22">
        <v>8170</v>
      </c>
      <c r="AA186" s="22">
        <v>14000</v>
      </c>
      <c r="AB186" s="22">
        <v>2800</v>
      </c>
      <c r="AC186" s="78">
        <f t="shared" si="10"/>
        <v>-5370</v>
      </c>
    </row>
    <row r="187" spans="1:30">
      <c r="A187" s="6" t="s">
        <v>441</v>
      </c>
      <c r="B187" s="2" t="s">
        <v>432</v>
      </c>
      <c r="D187" s="2" t="s">
        <v>444</v>
      </c>
      <c r="E187" s="2" t="s">
        <v>445</v>
      </c>
      <c r="F187" s="1" t="s">
        <v>95</v>
      </c>
      <c r="O187" s="22">
        <v>0</v>
      </c>
      <c r="P187" s="22">
        <v>20</v>
      </c>
      <c r="Q187" s="22">
        <v>0</v>
      </c>
      <c r="R187" s="12" t="s">
        <v>567</v>
      </c>
      <c r="S187" s="135">
        <v>0.1</v>
      </c>
      <c r="T187" s="2" t="s">
        <v>625</v>
      </c>
      <c r="U187" s="12" t="s">
        <v>572</v>
      </c>
      <c r="Y187" s="9" t="str">
        <f t="shared" si="11"/>
        <v>Yes</v>
      </c>
      <c r="Z187" s="22">
        <v>8170</v>
      </c>
      <c r="AA187" s="22">
        <v>14000</v>
      </c>
      <c r="AB187" s="22">
        <v>2800</v>
      </c>
      <c r="AC187" s="78">
        <f t="shared" si="10"/>
        <v>-5370</v>
      </c>
    </row>
    <row r="188" spans="1:30" s="20" customFormat="1">
      <c r="A188" s="28" t="s">
        <v>442</v>
      </c>
      <c r="B188" s="35" t="s">
        <v>432</v>
      </c>
      <c r="D188" s="35" t="s">
        <v>446</v>
      </c>
      <c r="E188" s="35" t="s">
        <v>447</v>
      </c>
      <c r="F188" s="26" t="s">
        <v>95</v>
      </c>
      <c r="N188" s="26"/>
      <c r="O188" s="33">
        <v>0</v>
      </c>
      <c r="P188" s="33">
        <v>20</v>
      </c>
      <c r="Q188" s="33">
        <v>0</v>
      </c>
      <c r="R188" s="37" t="s">
        <v>567</v>
      </c>
      <c r="S188" s="136">
        <v>0.1</v>
      </c>
      <c r="T188" s="35" t="s">
        <v>628</v>
      </c>
      <c r="U188" s="37" t="s">
        <v>572</v>
      </c>
      <c r="V188" s="134"/>
      <c r="X188" s="26"/>
      <c r="Y188" s="20" t="str">
        <f t="shared" si="11"/>
        <v>Yes</v>
      </c>
      <c r="Z188" s="33">
        <v>8170</v>
      </c>
      <c r="AA188" s="33">
        <v>14000</v>
      </c>
      <c r="AB188" s="33">
        <v>2800</v>
      </c>
      <c r="AC188" s="112">
        <f t="shared" si="10"/>
        <v>-5370</v>
      </c>
      <c r="AD188" s="33"/>
    </row>
    <row r="189" spans="1:30">
      <c r="A189" s="4" t="s">
        <v>449</v>
      </c>
      <c r="B189" s="9" t="s">
        <v>448</v>
      </c>
      <c r="D189" s="9" t="s">
        <v>385</v>
      </c>
      <c r="E189" s="9" t="s">
        <v>183</v>
      </c>
      <c r="G189" s="25" t="s">
        <v>457</v>
      </c>
      <c r="O189" s="22">
        <v>1</v>
      </c>
      <c r="P189" s="22">
        <v>0</v>
      </c>
      <c r="Q189" s="22">
        <v>0</v>
      </c>
      <c r="R189" s="1" t="s">
        <v>567</v>
      </c>
      <c r="S189" s="133">
        <v>0.03</v>
      </c>
      <c r="T189" s="2" t="s">
        <v>561</v>
      </c>
      <c r="U189" s="1" t="s">
        <v>571</v>
      </c>
      <c r="Y189" s="9" t="str">
        <f t="shared" si="11"/>
        <v>No</v>
      </c>
      <c r="Z189" s="22">
        <v>960</v>
      </c>
      <c r="AA189" s="22">
        <v>400</v>
      </c>
      <c r="AB189" s="22">
        <v>80</v>
      </c>
      <c r="AC189" s="78">
        <f t="shared" si="10"/>
        <v>-880</v>
      </c>
    </row>
    <row r="190" spans="1:30">
      <c r="A190" s="4" t="s">
        <v>450</v>
      </c>
      <c r="B190" s="2" t="s">
        <v>448</v>
      </c>
      <c r="D190" s="2" t="s">
        <v>243</v>
      </c>
      <c r="E190" s="2" t="s">
        <v>451</v>
      </c>
      <c r="F190" s="1" t="s">
        <v>22</v>
      </c>
      <c r="G190" s="24" t="s">
        <v>179</v>
      </c>
      <c r="H190" s="25" t="s">
        <v>390</v>
      </c>
      <c r="I190" s="17" t="s">
        <v>502</v>
      </c>
      <c r="O190" s="22">
        <v>2</v>
      </c>
      <c r="P190" s="22">
        <v>0</v>
      </c>
      <c r="Q190" s="22">
        <v>0</v>
      </c>
      <c r="R190" s="12" t="s">
        <v>565</v>
      </c>
      <c r="S190" s="135">
        <v>0.04</v>
      </c>
      <c r="T190" s="2" t="s">
        <v>561</v>
      </c>
      <c r="U190" s="12" t="s">
        <v>571</v>
      </c>
      <c r="Y190" s="9" t="str">
        <f t="shared" si="11"/>
        <v>No</v>
      </c>
      <c r="Z190" s="22">
        <v>440</v>
      </c>
      <c r="AA190" s="22">
        <v>905</v>
      </c>
      <c r="AB190" s="22">
        <v>181</v>
      </c>
      <c r="AC190" s="78">
        <f t="shared" si="10"/>
        <v>-259</v>
      </c>
    </row>
    <row r="191" spans="1:30">
      <c r="A191" s="3" t="s">
        <v>452</v>
      </c>
      <c r="B191" s="2" t="s">
        <v>448</v>
      </c>
      <c r="D191" s="2" t="s">
        <v>421</v>
      </c>
      <c r="E191" s="2" t="s">
        <v>24</v>
      </c>
      <c r="G191" s="16" t="s">
        <v>110</v>
      </c>
      <c r="H191" s="16" t="s">
        <v>453</v>
      </c>
      <c r="O191" s="22">
        <v>1</v>
      </c>
      <c r="P191" s="22">
        <v>0</v>
      </c>
      <c r="Q191" s="22">
        <v>0</v>
      </c>
      <c r="R191" s="12" t="s">
        <v>565</v>
      </c>
      <c r="S191" s="135">
        <v>0.02</v>
      </c>
      <c r="T191" s="2" t="s">
        <v>561</v>
      </c>
      <c r="U191" s="12" t="s">
        <v>571</v>
      </c>
      <c r="Y191" s="9" t="str">
        <f t="shared" ref="Y191:Y223" si="12">IF(G191="","Yes","No")</f>
        <v>No</v>
      </c>
      <c r="Z191" s="22">
        <v>60</v>
      </c>
      <c r="AA191" s="22">
        <v>390</v>
      </c>
      <c r="AB191" s="22">
        <v>78</v>
      </c>
      <c r="AC191" s="78">
        <f t="shared" si="10"/>
        <v>18</v>
      </c>
    </row>
    <row r="192" spans="1:30">
      <c r="A192" s="4" t="s">
        <v>453</v>
      </c>
      <c r="B192" s="2" t="s">
        <v>448</v>
      </c>
      <c r="D192" s="2" t="s">
        <v>454</v>
      </c>
      <c r="E192" s="2" t="s">
        <v>357</v>
      </c>
      <c r="G192" s="17" t="s">
        <v>182</v>
      </c>
      <c r="H192" s="16" t="s">
        <v>449</v>
      </c>
      <c r="I192" s="17" t="s">
        <v>503</v>
      </c>
      <c r="O192" s="22">
        <v>1</v>
      </c>
      <c r="P192" s="22">
        <v>0</v>
      </c>
      <c r="Q192" s="22">
        <v>0</v>
      </c>
      <c r="R192" s="12" t="s">
        <v>565</v>
      </c>
      <c r="S192" s="135">
        <v>0.04</v>
      </c>
      <c r="T192" s="2" t="s">
        <v>561</v>
      </c>
      <c r="U192" s="12" t="s">
        <v>571</v>
      </c>
      <c r="Y192" s="9" t="str">
        <f t="shared" si="12"/>
        <v>No</v>
      </c>
      <c r="Z192" s="22">
        <v>320</v>
      </c>
      <c r="AA192" s="22">
        <v>700</v>
      </c>
      <c r="AB192" s="22">
        <v>140</v>
      </c>
      <c r="AC192" s="78">
        <f t="shared" si="10"/>
        <v>-180</v>
      </c>
    </row>
    <row r="193" spans="1:30">
      <c r="A193" s="4" t="s">
        <v>455</v>
      </c>
      <c r="B193" s="2" t="s">
        <v>448</v>
      </c>
      <c r="D193" s="2" t="s">
        <v>456</v>
      </c>
      <c r="E193" s="2" t="s">
        <v>41</v>
      </c>
      <c r="F193" s="1" t="s">
        <v>53</v>
      </c>
      <c r="G193" s="17" t="s">
        <v>461</v>
      </c>
      <c r="H193" s="17" t="s">
        <v>500</v>
      </c>
      <c r="O193" s="22">
        <v>6</v>
      </c>
      <c r="P193" s="22">
        <v>0</v>
      </c>
      <c r="Q193" s="22">
        <v>0</v>
      </c>
      <c r="R193" s="12" t="s">
        <v>570</v>
      </c>
      <c r="Y193" s="9" t="str">
        <f t="shared" si="12"/>
        <v>No</v>
      </c>
      <c r="Z193" s="22">
        <v>440</v>
      </c>
      <c r="AA193" s="22">
        <v>1650</v>
      </c>
      <c r="AB193" s="22">
        <v>330</v>
      </c>
      <c r="AC193" s="78">
        <f t="shared" si="10"/>
        <v>-110</v>
      </c>
    </row>
    <row r="194" spans="1:30">
      <c r="A194" s="5" t="s">
        <v>457</v>
      </c>
      <c r="B194" s="2" t="s">
        <v>448</v>
      </c>
      <c r="D194" s="2" t="s">
        <v>458</v>
      </c>
      <c r="E194" s="2" t="s">
        <v>459</v>
      </c>
      <c r="F194" s="1" t="s">
        <v>460</v>
      </c>
      <c r="G194" s="66" t="s">
        <v>462</v>
      </c>
      <c r="O194" s="22">
        <v>12</v>
      </c>
      <c r="P194" s="22">
        <v>0</v>
      </c>
      <c r="Q194" s="22">
        <v>0</v>
      </c>
      <c r="R194" s="12" t="s">
        <v>567</v>
      </c>
      <c r="S194" s="133">
        <v>0.05</v>
      </c>
      <c r="T194" s="2" t="s">
        <v>561</v>
      </c>
      <c r="U194" s="1" t="s">
        <v>571</v>
      </c>
      <c r="Y194" s="9" t="str">
        <f t="shared" si="12"/>
        <v>No</v>
      </c>
      <c r="Z194" s="22">
        <v>5650</v>
      </c>
      <c r="AA194" s="22">
        <v>7000</v>
      </c>
      <c r="AB194" s="22">
        <v>1400</v>
      </c>
      <c r="AC194" s="78">
        <f t="shared" si="10"/>
        <v>-4250</v>
      </c>
    </row>
    <row r="195" spans="1:30">
      <c r="A195" s="5" t="s">
        <v>461</v>
      </c>
      <c r="B195" s="2" t="s">
        <v>448</v>
      </c>
      <c r="D195" s="2" t="s">
        <v>134</v>
      </c>
      <c r="E195" s="2" t="s">
        <v>184</v>
      </c>
      <c r="F195" s="1" t="s">
        <v>278</v>
      </c>
      <c r="O195" s="22">
        <v>18</v>
      </c>
      <c r="P195" s="22">
        <v>0</v>
      </c>
      <c r="Q195" s="22">
        <v>0</v>
      </c>
      <c r="R195" s="12" t="s">
        <v>570</v>
      </c>
      <c r="Y195" s="9" t="str">
        <f t="shared" si="12"/>
        <v>Yes</v>
      </c>
      <c r="Z195" s="22">
        <v>1680</v>
      </c>
      <c r="AA195" s="22">
        <v>9900</v>
      </c>
      <c r="AB195" s="22">
        <v>1980</v>
      </c>
      <c r="AC195" s="78">
        <f t="shared" si="10"/>
        <v>300</v>
      </c>
    </row>
    <row r="196" spans="1:30" s="20" customFormat="1">
      <c r="A196" s="28" t="s">
        <v>462</v>
      </c>
      <c r="B196" s="35" t="s">
        <v>448</v>
      </c>
      <c r="D196" s="35" t="s">
        <v>463</v>
      </c>
      <c r="E196" s="35" t="s">
        <v>303</v>
      </c>
      <c r="F196" s="26" t="s">
        <v>464</v>
      </c>
      <c r="N196" s="26"/>
      <c r="O196" s="33">
        <v>20</v>
      </c>
      <c r="P196" s="33">
        <v>0</v>
      </c>
      <c r="Q196" s="33">
        <v>0</v>
      </c>
      <c r="R196" s="37" t="s">
        <v>567</v>
      </c>
      <c r="S196" s="134">
        <v>0.08</v>
      </c>
      <c r="T196" s="20" t="s">
        <v>561</v>
      </c>
      <c r="U196" s="26" t="s">
        <v>571</v>
      </c>
      <c r="V196" s="134"/>
      <c r="X196" s="26"/>
      <c r="Y196" s="20" t="str">
        <f t="shared" si="12"/>
        <v>Yes</v>
      </c>
      <c r="Z196" s="33">
        <v>19450</v>
      </c>
      <c r="AA196" s="33">
        <v>11600</v>
      </c>
      <c r="AB196" s="33">
        <v>2320</v>
      </c>
      <c r="AC196" s="112">
        <f t="shared" si="10"/>
        <v>-17130</v>
      </c>
      <c r="AD196" s="33"/>
    </row>
    <row r="197" spans="1:30">
      <c r="A197" s="3" t="s">
        <v>466</v>
      </c>
      <c r="B197" s="9" t="s">
        <v>465</v>
      </c>
      <c r="D197" s="9" t="s">
        <v>139</v>
      </c>
      <c r="E197" s="9" t="s">
        <v>61</v>
      </c>
      <c r="G197" s="24" t="s">
        <v>470</v>
      </c>
      <c r="O197" s="22">
        <v>0</v>
      </c>
      <c r="P197" s="22">
        <v>0</v>
      </c>
      <c r="Q197" s="22">
        <v>3</v>
      </c>
      <c r="R197" s="1" t="s">
        <v>570</v>
      </c>
      <c r="Y197" s="9" t="str">
        <f t="shared" si="12"/>
        <v>No</v>
      </c>
      <c r="Z197" s="22">
        <v>60</v>
      </c>
      <c r="AA197" s="22">
        <v>450</v>
      </c>
      <c r="AB197" s="22">
        <v>90</v>
      </c>
      <c r="AC197" s="78">
        <f t="shared" si="10"/>
        <v>30</v>
      </c>
    </row>
    <row r="198" spans="1:30">
      <c r="A198" s="3" t="s">
        <v>467</v>
      </c>
      <c r="B198" s="2" t="s">
        <v>465</v>
      </c>
      <c r="D198" s="2" t="s">
        <v>31</v>
      </c>
      <c r="E198" s="2" t="s">
        <v>86</v>
      </c>
      <c r="F198" s="1" t="s">
        <v>89</v>
      </c>
      <c r="G198" s="16" t="s">
        <v>468</v>
      </c>
      <c r="H198" s="16" t="s">
        <v>472</v>
      </c>
      <c r="O198" s="22">
        <v>0</v>
      </c>
      <c r="P198" s="22">
        <v>0</v>
      </c>
      <c r="Q198" s="22">
        <v>3</v>
      </c>
      <c r="R198" s="12" t="s">
        <v>565</v>
      </c>
      <c r="Y198" s="9" t="str">
        <f t="shared" si="12"/>
        <v>No</v>
      </c>
      <c r="Z198" s="22">
        <v>60</v>
      </c>
      <c r="AA198" s="22">
        <v>585</v>
      </c>
      <c r="AB198" s="22">
        <v>117</v>
      </c>
      <c r="AC198" s="78">
        <f t="shared" si="10"/>
        <v>57</v>
      </c>
    </row>
    <row r="199" spans="1:30">
      <c r="A199" s="4" t="s">
        <v>468</v>
      </c>
      <c r="B199" s="2" t="s">
        <v>465</v>
      </c>
      <c r="D199" s="2" t="s">
        <v>180</v>
      </c>
      <c r="E199" s="2" t="s">
        <v>469</v>
      </c>
      <c r="G199" s="17" t="s">
        <v>477</v>
      </c>
      <c r="O199" s="22">
        <v>0</v>
      </c>
      <c r="P199" s="22">
        <v>0</v>
      </c>
      <c r="Q199" s="22">
        <v>6</v>
      </c>
      <c r="R199" s="12" t="s">
        <v>567</v>
      </c>
      <c r="Y199" s="9" t="str">
        <f t="shared" si="12"/>
        <v>No</v>
      </c>
      <c r="Z199" s="22">
        <v>560</v>
      </c>
      <c r="AA199" s="22">
        <v>1500</v>
      </c>
      <c r="AB199" s="22">
        <v>300</v>
      </c>
      <c r="AC199" s="78">
        <f t="shared" si="10"/>
        <v>-260</v>
      </c>
    </row>
    <row r="200" spans="1:30">
      <c r="A200" s="4" t="s">
        <v>470</v>
      </c>
      <c r="B200" s="2" t="s">
        <v>465</v>
      </c>
      <c r="D200" s="2" t="s">
        <v>471</v>
      </c>
      <c r="E200" s="2" t="s">
        <v>319</v>
      </c>
      <c r="F200" s="1" t="s">
        <v>265</v>
      </c>
      <c r="G200" s="17" t="s">
        <v>474</v>
      </c>
      <c r="H200" s="16" t="s">
        <v>499</v>
      </c>
      <c r="O200" s="22">
        <v>0</v>
      </c>
      <c r="P200" s="22">
        <v>0</v>
      </c>
      <c r="Q200" s="22">
        <v>6</v>
      </c>
      <c r="R200" s="12" t="s">
        <v>570</v>
      </c>
      <c r="Y200" s="9" t="str">
        <f t="shared" si="12"/>
        <v>No</v>
      </c>
      <c r="Z200" s="22">
        <v>260</v>
      </c>
      <c r="AA200" s="22">
        <v>1650</v>
      </c>
      <c r="AB200" s="22">
        <v>330</v>
      </c>
      <c r="AC200" s="78">
        <f t="shared" si="10"/>
        <v>70</v>
      </c>
    </row>
    <row r="201" spans="1:30">
      <c r="A201" s="4" t="s">
        <v>472</v>
      </c>
      <c r="B201" s="2" t="s">
        <v>465</v>
      </c>
      <c r="D201" s="2" t="s">
        <v>473</v>
      </c>
      <c r="E201" s="2" t="s">
        <v>264</v>
      </c>
      <c r="F201" s="1" t="s">
        <v>290</v>
      </c>
      <c r="G201" s="17" t="s">
        <v>474</v>
      </c>
      <c r="H201" s="2" t="s">
        <v>477</v>
      </c>
      <c r="O201" s="22">
        <v>0</v>
      </c>
      <c r="P201" s="22">
        <v>0</v>
      </c>
      <c r="Q201" s="22">
        <v>6</v>
      </c>
      <c r="R201" s="12" t="s">
        <v>565</v>
      </c>
      <c r="Y201" s="9" t="str">
        <f t="shared" si="12"/>
        <v>No</v>
      </c>
      <c r="Z201" s="22">
        <v>260</v>
      </c>
      <c r="AA201" s="22">
        <v>2100</v>
      </c>
      <c r="AB201" s="22">
        <v>420</v>
      </c>
      <c r="AC201" s="78">
        <f t="shared" si="10"/>
        <v>160</v>
      </c>
    </row>
    <row r="202" spans="1:30">
      <c r="A202" s="5" t="s">
        <v>474</v>
      </c>
      <c r="B202" s="2" t="s">
        <v>465</v>
      </c>
      <c r="D202" s="2" t="s">
        <v>408</v>
      </c>
      <c r="E202" s="2" t="s">
        <v>475</v>
      </c>
      <c r="F202" s="1" t="s">
        <v>476</v>
      </c>
      <c r="G202" s="66" t="s">
        <v>480</v>
      </c>
      <c r="H202" s="25"/>
      <c r="O202" s="22">
        <v>0</v>
      </c>
      <c r="P202" s="22">
        <v>0</v>
      </c>
      <c r="Q202" s="22">
        <v>15</v>
      </c>
      <c r="R202" s="12" t="s">
        <v>567</v>
      </c>
      <c r="Y202" s="9" t="str">
        <f t="shared" si="12"/>
        <v>No</v>
      </c>
      <c r="Z202" s="22">
        <v>1090</v>
      </c>
      <c r="AA202" s="22">
        <v>7500</v>
      </c>
      <c r="AB202" s="22">
        <v>1500</v>
      </c>
      <c r="AC202" s="78">
        <f t="shared" si="10"/>
        <v>410</v>
      </c>
    </row>
    <row r="203" spans="1:30">
      <c r="A203" s="5" t="s">
        <v>477</v>
      </c>
      <c r="B203" s="2" t="s">
        <v>465</v>
      </c>
      <c r="D203" s="2" t="s">
        <v>478</v>
      </c>
      <c r="E203" s="2" t="s">
        <v>475</v>
      </c>
      <c r="F203" s="1" t="s">
        <v>479</v>
      </c>
      <c r="O203" s="22">
        <v>0</v>
      </c>
      <c r="P203" s="22">
        <v>0</v>
      </c>
      <c r="Q203" s="22">
        <v>18</v>
      </c>
      <c r="R203" s="12" t="s">
        <v>567</v>
      </c>
      <c r="Y203" s="9" t="str">
        <f t="shared" si="12"/>
        <v>Yes</v>
      </c>
      <c r="Z203" s="22">
        <v>1620</v>
      </c>
      <c r="AA203" s="22">
        <v>9000</v>
      </c>
      <c r="AB203" s="22">
        <v>1800</v>
      </c>
      <c r="AC203" s="78">
        <f t="shared" si="10"/>
        <v>180</v>
      </c>
    </row>
    <row r="204" spans="1:30" s="20" customFormat="1">
      <c r="A204" s="28" t="s">
        <v>480</v>
      </c>
      <c r="B204" s="35" t="s">
        <v>465</v>
      </c>
      <c r="D204" s="35" t="s">
        <v>481</v>
      </c>
      <c r="E204" s="35" t="s">
        <v>254</v>
      </c>
      <c r="F204" s="26" t="s">
        <v>255</v>
      </c>
      <c r="N204" s="26"/>
      <c r="O204" s="33">
        <v>0</v>
      </c>
      <c r="P204" s="33">
        <v>0</v>
      </c>
      <c r="Q204" s="33">
        <v>30</v>
      </c>
      <c r="R204" s="37" t="s">
        <v>567</v>
      </c>
      <c r="S204" s="134"/>
      <c r="U204" s="26"/>
      <c r="V204" s="134"/>
      <c r="X204" s="26"/>
      <c r="Y204" s="20" t="str">
        <f t="shared" si="12"/>
        <v>Yes</v>
      </c>
      <c r="Z204" s="33">
        <v>5770</v>
      </c>
      <c r="AA204" s="33">
        <v>15000</v>
      </c>
      <c r="AB204" s="33">
        <v>3000</v>
      </c>
      <c r="AC204" s="112">
        <f t="shared" si="10"/>
        <v>-2770</v>
      </c>
      <c r="AD204" s="33"/>
    </row>
    <row r="205" spans="1:30">
      <c r="A205" s="3" t="s">
        <v>483</v>
      </c>
      <c r="B205" s="2" t="s">
        <v>482</v>
      </c>
      <c r="D205" s="9" t="s">
        <v>34</v>
      </c>
      <c r="E205" s="9" t="s">
        <v>53</v>
      </c>
      <c r="F205" s="1" t="s">
        <v>120</v>
      </c>
      <c r="G205" s="9" t="s">
        <v>486</v>
      </c>
      <c r="H205" s="25" t="s">
        <v>493</v>
      </c>
      <c r="O205" s="22">
        <v>1</v>
      </c>
      <c r="P205" s="22">
        <v>1</v>
      </c>
      <c r="Q205" s="22">
        <v>0</v>
      </c>
      <c r="R205" s="1" t="s">
        <v>567</v>
      </c>
      <c r="S205" s="133">
        <v>0.01</v>
      </c>
      <c r="T205" s="9" t="s">
        <v>623</v>
      </c>
      <c r="U205" s="1" t="s">
        <v>572</v>
      </c>
      <c r="V205" s="109">
        <v>0.01</v>
      </c>
      <c r="W205" s="9" t="s">
        <v>628</v>
      </c>
      <c r="X205" s="1" t="s">
        <v>572</v>
      </c>
      <c r="Y205" s="9" t="str">
        <f t="shared" si="12"/>
        <v>No</v>
      </c>
      <c r="Z205" s="22">
        <v>60</v>
      </c>
      <c r="AA205" s="22">
        <v>400</v>
      </c>
      <c r="AB205" s="22">
        <v>80</v>
      </c>
      <c r="AC205" s="78">
        <f t="shared" si="10"/>
        <v>20</v>
      </c>
    </row>
    <row r="206" spans="1:30">
      <c r="A206" s="3" t="s">
        <v>484</v>
      </c>
      <c r="B206" s="2" t="s">
        <v>482</v>
      </c>
      <c r="D206" s="2" t="s">
        <v>485</v>
      </c>
      <c r="E206" s="2" t="s">
        <v>108</v>
      </c>
      <c r="F206" s="1" t="s">
        <v>121</v>
      </c>
      <c r="O206" s="22">
        <v>0</v>
      </c>
      <c r="P206" s="22">
        <v>0</v>
      </c>
      <c r="Q206" s="22">
        <v>0</v>
      </c>
      <c r="R206" s="12" t="s">
        <v>586</v>
      </c>
      <c r="Y206" s="9" t="str">
        <f t="shared" si="12"/>
        <v>Yes</v>
      </c>
      <c r="Z206" s="22">
        <v>255</v>
      </c>
      <c r="AA206" s="22">
        <v>10</v>
      </c>
      <c r="AB206" s="22">
        <v>2</v>
      </c>
      <c r="AC206" s="78">
        <f t="shared" si="10"/>
        <v>-253</v>
      </c>
    </row>
    <row r="207" spans="1:30">
      <c r="A207" s="3" t="s">
        <v>486</v>
      </c>
      <c r="B207" s="2" t="s">
        <v>482</v>
      </c>
      <c r="D207" s="2" t="s">
        <v>424</v>
      </c>
      <c r="E207" s="2" t="s">
        <v>487</v>
      </c>
      <c r="F207" s="1" t="s">
        <v>488</v>
      </c>
      <c r="G207" s="17" t="s">
        <v>493</v>
      </c>
      <c r="H207" s="17" t="s">
        <v>501</v>
      </c>
      <c r="O207" s="22">
        <v>1</v>
      </c>
      <c r="P207" s="22">
        <v>0</v>
      </c>
      <c r="Q207" s="22">
        <v>0</v>
      </c>
      <c r="R207" s="12" t="s">
        <v>567</v>
      </c>
      <c r="S207" s="133">
        <v>0.01</v>
      </c>
      <c r="T207" s="9" t="s">
        <v>561</v>
      </c>
      <c r="U207" s="1" t="s">
        <v>572</v>
      </c>
      <c r="Y207" s="9" t="str">
        <f t="shared" si="12"/>
        <v>No</v>
      </c>
      <c r="Z207" s="22">
        <v>240</v>
      </c>
      <c r="AA207" s="22">
        <v>200</v>
      </c>
      <c r="AB207" s="22">
        <v>40</v>
      </c>
      <c r="AC207" s="78">
        <f t="shared" si="10"/>
        <v>-200</v>
      </c>
    </row>
    <row r="208" spans="1:30">
      <c r="A208" s="4" t="s">
        <v>489</v>
      </c>
      <c r="B208" s="2" t="s">
        <v>482</v>
      </c>
      <c r="D208" s="2" t="s">
        <v>490</v>
      </c>
      <c r="E208" s="2" t="s">
        <v>424</v>
      </c>
      <c r="F208" s="1" t="s">
        <v>400</v>
      </c>
      <c r="G208" s="17" t="s">
        <v>495</v>
      </c>
      <c r="O208" s="22">
        <v>1</v>
      </c>
      <c r="P208" s="22">
        <v>0</v>
      </c>
      <c r="Q208" s="22">
        <v>0</v>
      </c>
      <c r="R208" s="12" t="s">
        <v>567</v>
      </c>
      <c r="S208" s="133">
        <v>0.01</v>
      </c>
      <c r="T208" s="9" t="s">
        <v>621</v>
      </c>
      <c r="U208" s="1" t="s">
        <v>572</v>
      </c>
      <c r="V208" s="109">
        <v>0.01</v>
      </c>
      <c r="W208" s="9" t="s">
        <v>622</v>
      </c>
      <c r="X208" s="21" t="s">
        <v>572</v>
      </c>
      <c r="Y208" s="9" t="str">
        <f t="shared" si="12"/>
        <v>No</v>
      </c>
      <c r="Z208" s="22">
        <v>120</v>
      </c>
      <c r="AA208" s="22">
        <v>300</v>
      </c>
      <c r="AB208" s="22">
        <v>60</v>
      </c>
      <c r="AC208" s="78">
        <f t="shared" si="10"/>
        <v>-60</v>
      </c>
    </row>
    <row r="209" spans="1:30">
      <c r="A209" s="3" t="s">
        <v>491</v>
      </c>
      <c r="B209" s="2" t="s">
        <v>482</v>
      </c>
      <c r="D209" s="2" t="s">
        <v>59</v>
      </c>
      <c r="E209" s="2" t="s">
        <v>424</v>
      </c>
      <c r="F209" s="1" t="s">
        <v>400</v>
      </c>
      <c r="G209" s="17" t="s">
        <v>495</v>
      </c>
      <c r="O209" s="22">
        <v>0</v>
      </c>
      <c r="P209" s="22">
        <v>0</v>
      </c>
      <c r="Q209" s="22">
        <v>1</v>
      </c>
      <c r="R209" s="12" t="s">
        <v>567</v>
      </c>
      <c r="S209" s="133">
        <v>0.01</v>
      </c>
      <c r="T209" s="2" t="s">
        <v>627</v>
      </c>
      <c r="U209" s="1" t="s">
        <v>572</v>
      </c>
      <c r="V209" s="109">
        <v>0.01</v>
      </c>
      <c r="W209" s="9" t="s">
        <v>626</v>
      </c>
      <c r="X209" s="1" t="s">
        <v>572</v>
      </c>
      <c r="Y209" s="9" t="str">
        <f t="shared" si="12"/>
        <v>No</v>
      </c>
      <c r="Z209" s="22">
        <v>120</v>
      </c>
      <c r="AA209" s="22">
        <v>300</v>
      </c>
      <c r="AB209" s="22">
        <v>60</v>
      </c>
      <c r="AC209" s="78">
        <f t="shared" si="10"/>
        <v>-60</v>
      </c>
    </row>
    <row r="210" spans="1:30">
      <c r="A210" s="3" t="s">
        <v>492</v>
      </c>
      <c r="B210" s="2" t="s">
        <v>482</v>
      </c>
      <c r="D210" s="2" t="s">
        <v>80</v>
      </c>
      <c r="E210" s="2" t="s">
        <v>424</v>
      </c>
      <c r="F210" s="1" t="s">
        <v>400</v>
      </c>
      <c r="G210" s="2" t="s">
        <v>484</v>
      </c>
      <c r="H210" s="2" t="s">
        <v>314</v>
      </c>
      <c r="O210" s="22">
        <v>0</v>
      </c>
      <c r="P210" s="22">
        <v>1</v>
      </c>
      <c r="Q210" s="22">
        <v>0</v>
      </c>
      <c r="R210" s="12" t="s">
        <v>567</v>
      </c>
      <c r="S210" s="133">
        <v>0.01</v>
      </c>
      <c r="T210" s="2" t="s">
        <v>624</v>
      </c>
      <c r="U210" s="1" t="s">
        <v>572</v>
      </c>
      <c r="V210" s="109">
        <v>0.01</v>
      </c>
      <c r="W210" s="9" t="s">
        <v>625</v>
      </c>
      <c r="X210" s="12" t="s">
        <v>572</v>
      </c>
      <c r="Y210" s="9" t="str">
        <f t="shared" si="12"/>
        <v>No</v>
      </c>
      <c r="Z210" s="22">
        <v>120</v>
      </c>
      <c r="AA210" s="22">
        <v>300</v>
      </c>
      <c r="AB210" s="22">
        <v>60</v>
      </c>
      <c r="AC210" s="78">
        <f t="shared" si="10"/>
        <v>-60</v>
      </c>
    </row>
    <row r="211" spans="1:30">
      <c r="A211" s="5" t="s">
        <v>493</v>
      </c>
      <c r="B211" s="2" t="s">
        <v>482</v>
      </c>
      <c r="D211" s="2" t="s">
        <v>494</v>
      </c>
      <c r="E211" s="2" t="s">
        <v>487</v>
      </c>
      <c r="F211" s="1" t="s">
        <v>233</v>
      </c>
      <c r="G211" s="66" t="s">
        <v>505</v>
      </c>
      <c r="O211" s="22">
        <v>7</v>
      </c>
      <c r="P211" s="22">
        <v>0</v>
      </c>
      <c r="Q211" s="22">
        <v>0</v>
      </c>
      <c r="R211" s="12" t="s">
        <v>567</v>
      </c>
      <c r="S211" s="133">
        <v>0.03</v>
      </c>
      <c r="T211" s="2" t="s">
        <v>561</v>
      </c>
      <c r="U211" s="1" t="s">
        <v>566</v>
      </c>
      <c r="Y211" s="9" t="str">
        <f t="shared" si="12"/>
        <v>No</v>
      </c>
      <c r="Z211" s="22">
        <v>1340</v>
      </c>
      <c r="AA211" s="22">
        <v>2400</v>
      </c>
      <c r="AB211" s="22">
        <v>480</v>
      </c>
      <c r="AC211" s="78">
        <f t="shared" si="10"/>
        <v>-860</v>
      </c>
    </row>
    <row r="212" spans="1:30" s="20" customFormat="1">
      <c r="A212" s="27" t="s">
        <v>495</v>
      </c>
      <c r="B212" s="35" t="s">
        <v>482</v>
      </c>
      <c r="D212" s="35" t="s">
        <v>496</v>
      </c>
      <c r="E212" s="35" t="s">
        <v>497</v>
      </c>
      <c r="F212" s="26" t="s">
        <v>411</v>
      </c>
      <c r="N212" s="26"/>
      <c r="O212" s="33">
        <v>5</v>
      </c>
      <c r="P212" s="33">
        <v>5</v>
      </c>
      <c r="Q212" s="33">
        <v>0</v>
      </c>
      <c r="R212" s="37" t="s">
        <v>567</v>
      </c>
      <c r="S212" s="134">
        <v>0.02</v>
      </c>
      <c r="T212" s="20" t="s">
        <v>562</v>
      </c>
      <c r="U212" s="26" t="s">
        <v>571</v>
      </c>
      <c r="V212" s="134">
        <v>0.02</v>
      </c>
      <c r="W212" s="20" t="s">
        <v>561</v>
      </c>
      <c r="X212" s="37" t="s">
        <v>566</v>
      </c>
      <c r="Y212" s="20" t="str">
        <f t="shared" si="12"/>
        <v>Yes</v>
      </c>
      <c r="Z212" s="33">
        <v>1520</v>
      </c>
      <c r="AA212" s="33">
        <v>2400</v>
      </c>
      <c r="AB212" s="33">
        <v>480</v>
      </c>
      <c r="AC212" s="112">
        <f t="shared" si="10"/>
        <v>-1040</v>
      </c>
      <c r="AD212" s="33"/>
    </row>
    <row r="213" spans="1:30">
      <c r="A213" s="3" t="s">
        <v>314</v>
      </c>
      <c r="B213" s="2" t="s">
        <v>498</v>
      </c>
      <c r="D213" s="9" t="s">
        <v>485</v>
      </c>
      <c r="E213" s="9" t="s">
        <v>108</v>
      </c>
      <c r="F213" s="1" t="s">
        <v>24</v>
      </c>
      <c r="O213" s="22">
        <v>0</v>
      </c>
      <c r="P213" s="22">
        <v>0</v>
      </c>
      <c r="Q213" s="22">
        <v>0</v>
      </c>
      <c r="R213" s="1" t="s">
        <v>586</v>
      </c>
      <c r="Y213" s="9" t="str">
        <f t="shared" si="12"/>
        <v>Yes</v>
      </c>
      <c r="Z213" s="22">
        <v>255</v>
      </c>
      <c r="AA213" s="22">
        <v>10</v>
      </c>
      <c r="AB213" s="22">
        <v>2</v>
      </c>
      <c r="AC213" s="78">
        <f t="shared" ref="AC213:AC229" si="13">AB213-Z213</f>
        <v>-253</v>
      </c>
    </row>
    <row r="214" spans="1:30">
      <c r="A214" s="4" t="s">
        <v>499</v>
      </c>
      <c r="B214" s="2" t="s">
        <v>498</v>
      </c>
      <c r="D214" s="2" t="s">
        <v>34</v>
      </c>
      <c r="E214" s="2" t="s">
        <v>145</v>
      </c>
      <c r="F214" s="1" t="s">
        <v>476</v>
      </c>
      <c r="G214" s="17" t="s">
        <v>500</v>
      </c>
      <c r="O214" s="22">
        <v>3</v>
      </c>
      <c r="P214" s="22">
        <v>0</v>
      </c>
      <c r="Q214" s="22">
        <v>0</v>
      </c>
      <c r="R214" s="12" t="s">
        <v>567</v>
      </c>
      <c r="S214" s="135">
        <v>0.03</v>
      </c>
      <c r="T214" s="2" t="s">
        <v>621</v>
      </c>
      <c r="U214" s="12" t="s">
        <v>572</v>
      </c>
      <c r="Y214" s="9" t="str">
        <f t="shared" si="12"/>
        <v>No</v>
      </c>
      <c r="Z214" s="22">
        <v>580</v>
      </c>
      <c r="AA214" s="22">
        <v>750</v>
      </c>
      <c r="AB214" s="22">
        <v>150</v>
      </c>
      <c r="AC214" s="78">
        <f t="shared" si="13"/>
        <v>-430</v>
      </c>
    </row>
    <row r="215" spans="1:30">
      <c r="A215" s="5" t="s">
        <v>500</v>
      </c>
      <c r="B215" s="2" t="s">
        <v>498</v>
      </c>
      <c r="D215" s="2" t="s">
        <v>506</v>
      </c>
      <c r="E215" s="2" t="s">
        <v>507</v>
      </c>
      <c r="F215" s="1" t="s">
        <v>508</v>
      </c>
      <c r="G215" s="17" t="s">
        <v>501</v>
      </c>
      <c r="O215" s="22">
        <v>7</v>
      </c>
      <c r="P215" s="22">
        <v>7</v>
      </c>
      <c r="Q215" s="22">
        <v>7</v>
      </c>
      <c r="R215" s="12" t="s">
        <v>567</v>
      </c>
      <c r="S215" s="135">
        <v>0.04</v>
      </c>
      <c r="T215" s="2" t="s">
        <v>621</v>
      </c>
      <c r="U215" s="12" t="s">
        <v>566</v>
      </c>
      <c r="V215" s="109">
        <v>0.01</v>
      </c>
      <c r="W215" s="2" t="s">
        <v>561</v>
      </c>
      <c r="X215" s="12" t="s">
        <v>571</v>
      </c>
      <c r="Y215" s="9" t="str">
        <f t="shared" si="12"/>
        <v>No</v>
      </c>
      <c r="Z215" s="22">
        <v>1790</v>
      </c>
      <c r="AA215" s="22">
        <v>6800</v>
      </c>
      <c r="AB215" s="22">
        <v>1360</v>
      </c>
      <c r="AC215" s="78">
        <f t="shared" si="13"/>
        <v>-430</v>
      </c>
    </row>
    <row r="216" spans="1:30">
      <c r="A216" s="5" t="s">
        <v>1069</v>
      </c>
      <c r="B216" s="2" t="s">
        <v>498</v>
      </c>
      <c r="D216" s="2"/>
      <c r="E216" s="2"/>
      <c r="G216" s="17"/>
      <c r="O216" s="22">
        <v>7</v>
      </c>
      <c r="P216" s="22">
        <v>7</v>
      </c>
      <c r="Q216" s="22">
        <v>7</v>
      </c>
      <c r="R216" s="12" t="s">
        <v>1096</v>
      </c>
      <c r="S216" s="135">
        <v>0.04</v>
      </c>
      <c r="T216" s="2" t="s">
        <v>621</v>
      </c>
      <c r="U216" s="12" t="s">
        <v>566</v>
      </c>
      <c r="V216" s="109">
        <v>0.01</v>
      </c>
      <c r="W216" s="2" t="s">
        <v>561</v>
      </c>
      <c r="X216" s="12" t="s">
        <v>571</v>
      </c>
    </row>
    <row r="217" spans="1:30">
      <c r="A217" s="5" t="s">
        <v>501</v>
      </c>
      <c r="B217" s="2" t="s">
        <v>498</v>
      </c>
      <c r="D217" s="2" t="s">
        <v>509</v>
      </c>
      <c r="E217" s="2" t="s">
        <v>510</v>
      </c>
      <c r="F217" s="1" t="s">
        <v>217</v>
      </c>
      <c r="G217" s="17" t="s">
        <v>502</v>
      </c>
      <c r="O217" s="22">
        <v>7</v>
      </c>
      <c r="P217" s="22">
        <v>7</v>
      </c>
      <c r="Q217" s="22">
        <v>7</v>
      </c>
      <c r="R217" s="12" t="s">
        <v>567</v>
      </c>
      <c r="S217" s="135">
        <v>0.04</v>
      </c>
      <c r="T217" s="2" t="s">
        <v>1024</v>
      </c>
      <c r="U217" s="12" t="s">
        <v>571</v>
      </c>
      <c r="Y217" s="9" t="str">
        <f t="shared" si="12"/>
        <v>No</v>
      </c>
      <c r="Z217" s="22">
        <v>2600</v>
      </c>
      <c r="AA217" s="22">
        <v>11800</v>
      </c>
      <c r="AB217" s="22">
        <v>2360</v>
      </c>
      <c r="AC217" s="78">
        <f t="shared" si="13"/>
        <v>-240</v>
      </c>
    </row>
    <row r="218" spans="1:30">
      <c r="A218" s="5" t="s">
        <v>502</v>
      </c>
      <c r="B218" s="2" t="s">
        <v>498</v>
      </c>
      <c r="D218" s="2" t="s">
        <v>513</v>
      </c>
      <c r="E218" s="2" t="s">
        <v>511</v>
      </c>
      <c r="F218" s="1" t="s">
        <v>512</v>
      </c>
      <c r="G218" s="17" t="s">
        <v>503</v>
      </c>
      <c r="O218" s="22">
        <v>7</v>
      </c>
      <c r="P218" s="22">
        <v>7</v>
      </c>
      <c r="Q218" s="22">
        <v>7</v>
      </c>
      <c r="R218" s="12" t="s">
        <v>567</v>
      </c>
      <c r="S218" s="135">
        <v>0.03</v>
      </c>
      <c r="T218" s="2" t="s">
        <v>1024</v>
      </c>
      <c r="U218" s="12" t="s">
        <v>572</v>
      </c>
      <c r="Y218" s="9" t="str">
        <f t="shared" si="12"/>
        <v>No</v>
      </c>
      <c r="Z218" s="22">
        <v>3750</v>
      </c>
      <c r="AA218" s="22">
        <v>14550</v>
      </c>
      <c r="AB218" s="22">
        <v>2910</v>
      </c>
      <c r="AC218" s="78">
        <f t="shared" si="13"/>
        <v>-840</v>
      </c>
    </row>
    <row r="219" spans="1:30">
      <c r="A219" s="5" t="s">
        <v>503</v>
      </c>
      <c r="B219" s="2" t="s">
        <v>498</v>
      </c>
      <c r="D219" s="2" t="s">
        <v>515</v>
      </c>
      <c r="E219" s="2" t="s">
        <v>514</v>
      </c>
      <c r="F219" s="1" t="s">
        <v>516</v>
      </c>
      <c r="G219" s="66" t="s">
        <v>505</v>
      </c>
      <c r="O219" s="22">
        <v>6</v>
      </c>
      <c r="P219" s="22">
        <v>6</v>
      </c>
      <c r="Q219" s="22">
        <v>6</v>
      </c>
      <c r="R219" s="12" t="s">
        <v>567</v>
      </c>
      <c r="S219" s="135">
        <v>0.04</v>
      </c>
      <c r="T219" s="2" t="s">
        <v>1024</v>
      </c>
      <c r="U219" s="12" t="s">
        <v>572</v>
      </c>
      <c r="Y219" s="9" t="str">
        <f t="shared" si="12"/>
        <v>No</v>
      </c>
      <c r="Z219" s="22">
        <v>4900</v>
      </c>
      <c r="AA219" s="22">
        <v>15500</v>
      </c>
      <c r="AB219" s="22">
        <v>3100</v>
      </c>
      <c r="AC219" s="78">
        <f t="shared" si="13"/>
        <v>-1800</v>
      </c>
    </row>
    <row r="220" spans="1:30">
      <c r="A220" s="5" t="s">
        <v>504</v>
      </c>
      <c r="B220" s="2" t="s">
        <v>498</v>
      </c>
      <c r="D220" s="2" t="s">
        <v>517</v>
      </c>
      <c r="E220" s="2" t="s">
        <v>184</v>
      </c>
      <c r="F220" s="1" t="s">
        <v>278</v>
      </c>
      <c r="O220" s="22">
        <v>8</v>
      </c>
      <c r="P220" s="22">
        <v>0</v>
      </c>
      <c r="Q220" s="22">
        <v>0</v>
      </c>
      <c r="R220" s="12" t="s">
        <v>570</v>
      </c>
      <c r="S220" s="135">
        <v>0.08</v>
      </c>
      <c r="T220" s="2" t="s">
        <v>623</v>
      </c>
      <c r="U220" s="12" t="s">
        <v>571</v>
      </c>
      <c r="Y220" s="9" t="str">
        <f t="shared" si="12"/>
        <v>Yes</v>
      </c>
      <c r="Z220" s="22">
        <v>1440</v>
      </c>
      <c r="AA220" s="22">
        <v>4180</v>
      </c>
      <c r="AB220" s="22">
        <v>836</v>
      </c>
      <c r="AC220" s="78">
        <f t="shared" si="13"/>
        <v>-604</v>
      </c>
    </row>
    <row r="221" spans="1:30" s="20" customFormat="1">
      <c r="A221" s="28" t="s">
        <v>505</v>
      </c>
      <c r="B221" s="35" t="s">
        <v>498</v>
      </c>
      <c r="D221" s="35" t="s">
        <v>518</v>
      </c>
      <c r="E221" s="35" t="s">
        <v>520</v>
      </c>
      <c r="F221" s="26" t="s">
        <v>519</v>
      </c>
      <c r="N221" s="26"/>
      <c r="O221" s="33">
        <v>10</v>
      </c>
      <c r="P221" s="33">
        <v>10</v>
      </c>
      <c r="Q221" s="33">
        <v>10</v>
      </c>
      <c r="R221" s="37" t="s">
        <v>567</v>
      </c>
      <c r="S221" s="136">
        <v>0.06</v>
      </c>
      <c r="T221" s="35" t="s">
        <v>1024</v>
      </c>
      <c r="U221" s="37" t="s">
        <v>572</v>
      </c>
      <c r="V221" s="134"/>
      <c r="X221" s="26"/>
      <c r="Y221" s="20" t="str">
        <f t="shared" si="12"/>
        <v>Yes</v>
      </c>
      <c r="Z221" s="33">
        <v>15560</v>
      </c>
      <c r="AA221" s="33">
        <v>44400</v>
      </c>
      <c r="AB221" s="33">
        <v>8880</v>
      </c>
      <c r="AC221" s="112">
        <f t="shared" si="13"/>
        <v>-6680</v>
      </c>
      <c r="AD221" s="33"/>
    </row>
    <row r="222" spans="1:30">
      <c r="A222" s="5" t="s">
        <v>522</v>
      </c>
      <c r="B222" s="2" t="s">
        <v>521</v>
      </c>
      <c r="D222" s="9" t="s">
        <v>523</v>
      </c>
      <c r="E222" s="9" t="s">
        <v>27</v>
      </c>
      <c r="F222" s="1" t="s">
        <v>22</v>
      </c>
      <c r="G222" s="19" t="s">
        <v>529</v>
      </c>
      <c r="H222" s="19" t="s">
        <v>539</v>
      </c>
      <c r="O222" s="22">
        <v>8</v>
      </c>
      <c r="P222" s="22">
        <v>0</v>
      </c>
      <c r="Q222" s="22">
        <v>8</v>
      </c>
      <c r="R222" s="1" t="s">
        <v>567</v>
      </c>
      <c r="S222" s="133">
        <v>0.05</v>
      </c>
      <c r="T222" s="2" t="s">
        <v>623</v>
      </c>
      <c r="U222" s="1" t="s">
        <v>572</v>
      </c>
      <c r="V222" s="109">
        <v>0.05</v>
      </c>
      <c r="W222" s="9" t="s">
        <v>629</v>
      </c>
      <c r="X222" s="1" t="s">
        <v>572</v>
      </c>
      <c r="Y222" s="9" t="str">
        <f t="shared" si="12"/>
        <v>No</v>
      </c>
      <c r="Z222" s="22">
        <v>2530</v>
      </c>
      <c r="AA222" s="22">
        <v>9600</v>
      </c>
      <c r="AB222" s="22">
        <v>1920</v>
      </c>
      <c r="AC222" s="78">
        <f t="shared" si="13"/>
        <v>-610</v>
      </c>
    </row>
    <row r="223" spans="1:30">
      <c r="A223" s="5" t="s">
        <v>524</v>
      </c>
      <c r="B223" s="2" t="s">
        <v>521</v>
      </c>
      <c r="D223" s="2" t="s">
        <v>525</v>
      </c>
      <c r="E223" s="2" t="s">
        <v>245</v>
      </c>
      <c r="F223" s="1" t="s">
        <v>526</v>
      </c>
      <c r="G223" s="66" t="s">
        <v>539</v>
      </c>
      <c r="O223" s="22">
        <v>0</v>
      </c>
      <c r="P223" s="22">
        <v>0</v>
      </c>
      <c r="Q223" s="22">
        <v>8</v>
      </c>
      <c r="R223" s="12" t="s">
        <v>567</v>
      </c>
      <c r="S223" s="135">
        <v>0.08</v>
      </c>
      <c r="T223" s="2" t="s">
        <v>626</v>
      </c>
      <c r="U223" s="12" t="s">
        <v>572</v>
      </c>
      <c r="Y223" s="9" t="str">
        <f t="shared" si="12"/>
        <v>No</v>
      </c>
      <c r="Z223" s="22">
        <v>930</v>
      </c>
      <c r="AA223" s="22">
        <v>6000</v>
      </c>
      <c r="AB223" s="22">
        <v>1200</v>
      </c>
      <c r="AC223" s="78">
        <f t="shared" si="13"/>
        <v>270</v>
      </c>
    </row>
    <row r="224" spans="1:30">
      <c r="A224" s="3" t="s">
        <v>527</v>
      </c>
      <c r="B224" s="2" t="s">
        <v>521</v>
      </c>
      <c r="D224" s="2" t="s">
        <v>141</v>
      </c>
      <c r="E224" s="2" t="s">
        <v>528</v>
      </c>
      <c r="F224" s="1" t="s">
        <v>139</v>
      </c>
      <c r="G224" s="17" t="s">
        <v>535</v>
      </c>
      <c r="O224" s="22">
        <v>0</v>
      </c>
      <c r="P224" s="22">
        <v>0</v>
      </c>
      <c r="Q224" s="22">
        <v>0</v>
      </c>
      <c r="Y224" s="9" t="str">
        <f t="shared" ref="Y224:Y230" si="14">IF(G224="","Yes","No")</f>
        <v>No</v>
      </c>
      <c r="Z224" s="22">
        <v>75</v>
      </c>
      <c r="AA224" s="22">
        <v>10</v>
      </c>
      <c r="AB224" s="22">
        <v>2</v>
      </c>
      <c r="AC224" s="78">
        <f t="shared" si="13"/>
        <v>-73</v>
      </c>
    </row>
    <row r="225" spans="1:30">
      <c r="A225" s="6" t="s">
        <v>529</v>
      </c>
      <c r="B225" s="2" t="s">
        <v>521</v>
      </c>
      <c r="D225" s="2" t="s">
        <v>530</v>
      </c>
      <c r="E225" s="2" t="s">
        <v>531</v>
      </c>
      <c r="F225" s="1" t="s">
        <v>532</v>
      </c>
      <c r="O225" s="22">
        <v>17</v>
      </c>
      <c r="P225" s="22">
        <v>0</v>
      </c>
      <c r="Q225" s="22">
        <v>17</v>
      </c>
      <c r="R225" s="1" t="s">
        <v>567</v>
      </c>
      <c r="S225" s="133">
        <v>7.0000000000000007E-2</v>
      </c>
      <c r="T225" s="2" t="s">
        <v>623</v>
      </c>
      <c r="U225" s="1" t="s">
        <v>572</v>
      </c>
      <c r="V225" s="109">
        <v>7.0000000000000007E-2</v>
      </c>
      <c r="W225" s="9" t="s">
        <v>629</v>
      </c>
      <c r="X225" s="1" t="s">
        <v>572</v>
      </c>
      <c r="Y225" s="9" t="str">
        <f t="shared" si="14"/>
        <v>Yes</v>
      </c>
      <c r="Z225" s="22">
        <v>10270</v>
      </c>
      <c r="AA225" s="22">
        <v>22600</v>
      </c>
      <c r="AB225" s="22">
        <v>4520</v>
      </c>
      <c r="AC225" s="78">
        <f t="shared" si="13"/>
        <v>-5750</v>
      </c>
    </row>
    <row r="226" spans="1:30">
      <c r="A226" s="5" t="s">
        <v>533</v>
      </c>
      <c r="B226" s="2" t="s">
        <v>521</v>
      </c>
      <c r="D226" s="2" t="s">
        <v>534</v>
      </c>
      <c r="E226" s="2" t="s">
        <v>116</v>
      </c>
      <c r="F226" s="1" t="s">
        <v>218</v>
      </c>
      <c r="G226" s="66" t="s">
        <v>326</v>
      </c>
      <c r="O226" s="22">
        <v>0</v>
      </c>
      <c r="P226" s="22">
        <v>0</v>
      </c>
      <c r="Q226" s="22">
        <v>0</v>
      </c>
      <c r="Y226" s="9" t="str">
        <f t="shared" si="14"/>
        <v>No</v>
      </c>
      <c r="Z226" s="22">
        <v>375</v>
      </c>
      <c r="AA226" s="22">
        <v>0</v>
      </c>
      <c r="AB226" s="22">
        <v>1500</v>
      </c>
      <c r="AC226" s="78">
        <f t="shared" si="13"/>
        <v>1125</v>
      </c>
    </row>
    <row r="227" spans="1:30">
      <c r="A227" s="5" t="s">
        <v>538</v>
      </c>
      <c r="B227" s="2" t="s">
        <v>521</v>
      </c>
      <c r="D227" s="2" t="s">
        <v>536</v>
      </c>
      <c r="E227" s="2" t="s">
        <v>537</v>
      </c>
      <c r="F227" s="1" t="s">
        <v>131</v>
      </c>
      <c r="G227" s="66" t="s">
        <v>539</v>
      </c>
      <c r="H227" s="16" t="s">
        <v>543</v>
      </c>
      <c r="I227" s="2" t="s">
        <v>155</v>
      </c>
      <c r="O227" s="22">
        <v>10</v>
      </c>
      <c r="P227" s="22">
        <v>10</v>
      </c>
      <c r="Q227" s="22">
        <v>10</v>
      </c>
      <c r="R227" s="1" t="s">
        <v>575</v>
      </c>
      <c r="Y227" s="9" t="str">
        <f t="shared" si="14"/>
        <v>No</v>
      </c>
      <c r="Z227" s="22">
        <v>300</v>
      </c>
      <c r="AA227" s="22">
        <v>495</v>
      </c>
      <c r="AB227" s="22">
        <v>99</v>
      </c>
      <c r="AC227" s="78">
        <f t="shared" si="13"/>
        <v>-201</v>
      </c>
    </row>
    <row r="228" spans="1:30">
      <c r="A228" s="6" t="s">
        <v>1054</v>
      </c>
      <c r="B228" s="2" t="s">
        <v>521</v>
      </c>
      <c r="D228" s="2" t="s">
        <v>540</v>
      </c>
      <c r="E228" s="2" t="s">
        <v>541</v>
      </c>
      <c r="F228" s="1" t="s">
        <v>542</v>
      </c>
      <c r="O228" s="22">
        <v>17</v>
      </c>
      <c r="P228" s="22">
        <v>0</v>
      </c>
      <c r="Q228" s="22">
        <v>17</v>
      </c>
      <c r="R228" s="1" t="s">
        <v>575</v>
      </c>
      <c r="S228" s="133">
        <v>0.09</v>
      </c>
      <c r="T228" s="9" t="s">
        <v>622</v>
      </c>
      <c r="U228" s="1" t="s">
        <v>572</v>
      </c>
      <c r="V228" s="109">
        <v>0.09</v>
      </c>
      <c r="W228" s="9" t="s">
        <v>629</v>
      </c>
      <c r="X228" s="1" t="s">
        <v>572</v>
      </c>
      <c r="Y228" s="9" t="str">
        <f t="shared" si="14"/>
        <v>Yes</v>
      </c>
      <c r="Z228" s="22">
        <v>11820</v>
      </c>
      <c r="AA228" s="22">
        <v>24200</v>
      </c>
      <c r="AB228" s="22">
        <v>4840</v>
      </c>
      <c r="AC228" s="78">
        <f t="shared" si="13"/>
        <v>-6980</v>
      </c>
    </row>
    <row r="229" spans="1:30">
      <c r="A229" s="4" t="s">
        <v>543</v>
      </c>
      <c r="B229" s="2" t="s">
        <v>521</v>
      </c>
      <c r="D229" s="2" t="s">
        <v>158</v>
      </c>
      <c r="E229" s="2" t="s">
        <v>544</v>
      </c>
      <c r="F229" s="1" t="s">
        <v>104</v>
      </c>
      <c r="O229" s="22">
        <v>0</v>
      </c>
      <c r="P229" s="22">
        <v>0</v>
      </c>
      <c r="Q229" s="22">
        <v>0</v>
      </c>
      <c r="R229" s="1" t="s">
        <v>575</v>
      </c>
      <c r="Y229" s="9" t="str">
        <f t="shared" si="14"/>
        <v>Yes</v>
      </c>
      <c r="Z229" s="22">
        <v>350</v>
      </c>
      <c r="AA229" s="22">
        <v>75</v>
      </c>
      <c r="AB229" s="22">
        <v>15</v>
      </c>
      <c r="AC229" s="78">
        <f t="shared" si="13"/>
        <v>-335</v>
      </c>
    </row>
    <row r="230" spans="1:30" s="20" customFormat="1">
      <c r="A230" s="36" t="s">
        <v>1098</v>
      </c>
      <c r="B230" s="35" t="s">
        <v>521</v>
      </c>
      <c r="D230" s="35" t="s">
        <v>546</v>
      </c>
      <c r="E230" s="35" t="s">
        <v>547</v>
      </c>
      <c r="F230" s="26" t="s">
        <v>548</v>
      </c>
      <c r="G230" s="114" t="s">
        <v>256</v>
      </c>
      <c r="N230" s="26"/>
      <c r="O230" s="33">
        <v>29</v>
      </c>
      <c r="P230" s="33">
        <v>29</v>
      </c>
      <c r="Q230" s="33">
        <v>29</v>
      </c>
      <c r="R230" s="26" t="s">
        <v>567</v>
      </c>
      <c r="S230" s="137">
        <v>0.03</v>
      </c>
      <c r="T230" s="20" t="s">
        <v>1093</v>
      </c>
      <c r="U230" s="26" t="s">
        <v>1024</v>
      </c>
      <c r="V230" s="134">
        <v>0.03</v>
      </c>
      <c r="W230" s="35" t="s">
        <v>1094</v>
      </c>
      <c r="X230" s="26" t="s">
        <v>1024</v>
      </c>
      <c r="Y230" s="20" t="str">
        <f t="shared" si="14"/>
        <v>No</v>
      </c>
      <c r="Z230" s="33">
        <v>13218</v>
      </c>
      <c r="AA230" s="33" t="s">
        <v>993</v>
      </c>
      <c r="AB230" s="33" t="s">
        <v>993</v>
      </c>
      <c r="AC230" s="112" t="s">
        <v>993</v>
      </c>
      <c r="AD230" s="33"/>
    </row>
    <row r="233" spans="1:30">
      <c r="A233" s="4" t="s">
        <v>549</v>
      </c>
      <c r="B233" s="9" t="s">
        <v>702</v>
      </c>
      <c r="O233" s="22">
        <v>0</v>
      </c>
      <c r="P233" s="22">
        <v>0</v>
      </c>
      <c r="Q233" s="22">
        <v>0</v>
      </c>
      <c r="AB233" s="22">
        <v>2</v>
      </c>
      <c r="AD233" s="22">
        <v>0</v>
      </c>
    </row>
    <row r="234" spans="1:30">
      <c r="A234" s="4" t="s">
        <v>554</v>
      </c>
      <c r="B234" s="9" t="s">
        <v>702</v>
      </c>
      <c r="O234" s="22">
        <v>0</v>
      </c>
      <c r="P234" s="22">
        <v>0</v>
      </c>
      <c r="Q234" s="22">
        <v>0</v>
      </c>
      <c r="AB234" s="22">
        <v>2</v>
      </c>
      <c r="AD234" s="22">
        <v>0</v>
      </c>
    </row>
    <row r="235" spans="1:30">
      <c r="A235" s="4" t="s">
        <v>551</v>
      </c>
      <c r="B235" s="9" t="s">
        <v>702</v>
      </c>
      <c r="O235" s="22">
        <v>0</v>
      </c>
      <c r="P235" s="22">
        <v>0</v>
      </c>
      <c r="Q235" s="22">
        <v>0</v>
      </c>
      <c r="AB235" s="22">
        <v>2</v>
      </c>
      <c r="AD235" s="22">
        <v>2</v>
      </c>
    </row>
    <row r="236" spans="1:30">
      <c r="A236" s="4" t="s">
        <v>552</v>
      </c>
      <c r="B236" s="9" t="s">
        <v>702</v>
      </c>
      <c r="O236" s="22">
        <v>0</v>
      </c>
      <c r="P236" s="22">
        <v>0</v>
      </c>
      <c r="Q236" s="22">
        <v>0</v>
      </c>
      <c r="AB236" s="22">
        <v>2</v>
      </c>
      <c r="AD236" s="22">
        <v>1</v>
      </c>
    </row>
    <row r="237" spans="1:30">
      <c r="A237" s="4" t="s">
        <v>550</v>
      </c>
      <c r="B237" s="9" t="s">
        <v>702</v>
      </c>
      <c r="O237" s="22">
        <v>0</v>
      </c>
      <c r="P237" s="22">
        <v>0</v>
      </c>
      <c r="Q237" s="22">
        <v>0</v>
      </c>
      <c r="AB237" s="22">
        <v>2</v>
      </c>
      <c r="AD237" s="22">
        <v>3</v>
      </c>
    </row>
    <row r="238" spans="1:30" s="20" customFormat="1">
      <c r="A238" s="38" t="s">
        <v>553</v>
      </c>
      <c r="B238" s="20" t="s">
        <v>702</v>
      </c>
      <c r="F238" s="26"/>
      <c r="N238" s="26"/>
      <c r="O238" s="33">
        <v>0</v>
      </c>
      <c r="P238" s="33">
        <v>0</v>
      </c>
      <c r="Q238" s="33">
        <v>0</v>
      </c>
      <c r="R238" s="26"/>
      <c r="S238" s="134"/>
      <c r="U238" s="26"/>
      <c r="V238" s="134"/>
      <c r="X238" s="26"/>
      <c r="Z238" s="33"/>
      <c r="AA238" s="33"/>
      <c r="AB238" s="33">
        <v>2</v>
      </c>
      <c r="AC238" s="112"/>
      <c r="AD238" s="33">
        <v>0</v>
      </c>
    </row>
    <row r="239" spans="1:30">
      <c r="A239" s="5" t="s">
        <v>697</v>
      </c>
      <c r="B239" s="2" t="s">
        <v>703</v>
      </c>
      <c r="G239" s="25" t="s">
        <v>132</v>
      </c>
      <c r="O239" s="22">
        <v>0</v>
      </c>
      <c r="P239" s="22">
        <v>0</v>
      </c>
      <c r="Q239" s="22">
        <v>0</v>
      </c>
      <c r="AB239" s="22">
        <v>2</v>
      </c>
      <c r="AD239" s="22">
        <v>0</v>
      </c>
    </row>
    <row r="240" spans="1:30">
      <c r="A240" s="5" t="s">
        <v>556</v>
      </c>
      <c r="B240" s="2" t="s">
        <v>703</v>
      </c>
      <c r="G240" s="19" t="s">
        <v>146</v>
      </c>
      <c r="O240" s="22">
        <v>0</v>
      </c>
      <c r="P240" s="22">
        <v>0</v>
      </c>
      <c r="Q240" s="22">
        <v>0</v>
      </c>
      <c r="AB240" s="22">
        <v>2</v>
      </c>
      <c r="AD240" s="22">
        <v>0</v>
      </c>
    </row>
    <row r="241" spans="1:30">
      <c r="A241" s="6" t="s">
        <v>558</v>
      </c>
      <c r="B241" s="9" t="s">
        <v>703</v>
      </c>
      <c r="G241" s="19" t="s">
        <v>346</v>
      </c>
      <c r="O241" s="22">
        <v>23</v>
      </c>
      <c r="P241" s="22">
        <v>23</v>
      </c>
      <c r="Q241" s="22">
        <v>23</v>
      </c>
      <c r="R241" s="1" t="s">
        <v>565</v>
      </c>
      <c r="S241" s="133">
        <v>0.03</v>
      </c>
      <c r="T241" s="9" t="s">
        <v>1093</v>
      </c>
      <c r="U241" s="1" t="s">
        <v>847</v>
      </c>
      <c r="AB241" s="22">
        <v>15480</v>
      </c>
      <c r="AD241" s="22">
        <v>0</v>
      </c>
    </row>
    <row r="242" spans="1:30">
      <c r="A242" s="5" t="s">
        <v>559</v>
      </c>
      <c r="B242" s="9" t="s">
        <v>703</v>
      </c>
      <c r="G242" s="66" t="s">
        <v>308</v>
      </c>
      <c r="O242" s="22">
        <v>0</v>
      </c>
      <c r="P242" s="22">
        <v>0</v>
      </c>
      <c r="Q242" s="22">
        <v>0</v>
      </c>
      <c r="AB242" s="22">
        <v>2</v>
      </c>
      <c r="AD242" s="22">
        <v>0</v>
      </c>
    </row>
    <row r="244" spans="1:30">
      <c r="A244" s="10" t="s">
        <v>832</v>
      </c>
      <c r="B244" s="9" t="s">
        <v>557</v>
      </c>
      <c r="G244" s="92" t="s">
        <v>545</v>
      </c>
      <c r="O244" s="22">
        <v>26</v>
      </c>
      <c r="P244" s="22">
        <v>26</v>
      </c>
      <c r="Q244" s="22">
        <v>26</v>
      </c>
      <c r="R244" s="1" t="s">
        <v>567</v>
      </c>
      <c r="S244" s="133">
        <v>0.01</v>
      </c>
      <c r="T244" s="9" t="s">
        <v>1093</v>
      </c>
      <c r="U244" s="1" t="s">
        <v>1024</v>
      </c>
      <c r="V244" s="109">
        <v>0.01</v>
      </c>
      <c r="W244" s="2" t="s">
        <v>1094</v>
      </c>
      <c r="X244" s="1" t="s">
        <v>1024</v>
      </c>
      <c r="AA244" s="22" t="s">
        <v>1016</v>
      </c>
      <c r="AD244" s="22">
        <v>1</v>
      </c>
    </row>
    <row r="245" spans="1:30">
      <c r="A245" s="10"/>
    </row>
    <row r="246" spans="1:30" s="20" customFormat="1">
      <c r="A246" s="32"/>
      <c r="F246" s="26"/>
      <c r="N246" s="26"/>
      <c r="O246" s="33"/>
      <c r="P246" s="33"/>
      <c r="Q246" s="33"/>
      <c r="R246" s="26"/>
      <c r="S246" s="134"/>
      <c r="U246" s="26"/>
      <c r="V246" s="134"/>
      <c r="X246" s="26"/>
      <c r="Z246" s="33"/>
      <c r="AA246" s="33"/>
      <c r="AB246" s="33"/>
      <c r="AC246" s="112"/>
      <c r="AD246" s="33"/>
    </row>
    <row r="247" spans="1:30">
      <c r="A247" s="59" t="s">
        <v>639</v>
      </c>
      <c r="B247" s="9" t="s">
        <v>699</v>
      </c>
      <c r="O247" s="22">
        <v>3</v>
      </c>
      <c r="P247" s="22">
        <v>0</v>
      </c>
      <c r="Q247" s="22">
        <v>0</v>
      </c>
      <c r="R247" s="1" t="s">
        <v>565</v>
      </c>
      <c r="AB247" s="22">
        <v>117</v>
      </c>
      <c r="AD247" s="22">
        <v>1</v>
      </c>
    </row>
    <row r="248" spans="1:30">
      <c r="A248" s="58" t="s">
        <v>598</v>
      </c>
      <c r="B248" s="9" t="s">
        <v>699</v>
      </c>
      <c r="O248" s="22">
        <v>1</v>
      </c>
      <c r="P248" s="22">
        <v>0</v>
      </c>
      <c r="Q248" s="22">
        <v>0</v>
      </c>
      <c r="R248" s="1" t="s">
        <v>565</v>
      </c>
      <c r="S248" s="133">
        <v>0.01</v>
      </c>
      <c r="T248" s="9" t="s">
        <v>622</v>
      </c>
      <c r="U248" s="1" t="s">
        <v>566</v>
      </c>
      <c r="AB248" s="22">
        <v>45</v>
      </c>
      <c r="AD248" s="22">
        <v>2</v>
      </c>
    </row>
    <row r="249" spans="1:30">
      <c r="A249" s="58" t="s">
        <v>614</v>
      </c>
      <c r="B249" s="9" t="s">
        <v>699</v>
      </c>
      <c r="O249" s="22">
        <v>0</v>
      </c>
      <c r="P249" s="22">
        <v>1</v>
      </c>
      <c r="Q249" s="22">
        <v>0</v>
      </c>
      <c r="R249" s="1" t="s">
        <v>570</v>
      </c>
      <c r="S249" s="133">
        <v>0.01</v>
      </c>
      <c r="T249" s="9" t="s">
        <v>625</v>
      </c>
      <c r="U249" s="1" t="s">
        <v>571</v>
      </c>
      <c r="AB249" s="22">
        <v>35</v>
      </c>
    </row>
    <row r="250" spans="1:30">
      <c r="A250" s="58" t="s">
        <v>640</v>
      </c>
      <c r="B250" s="9" t="s">
        <v>701</v>
      </c>
      <c r="O250" s="22">
        <v>0</v>
      </c>
      <c r="P250" s="22">
        <v>1</v>
      </c>
      <c r="Q250" s="22">
        <v>0</v>
      </c>
      <c r="R250" s="1" t="s">
        <v>570</v>
      </c>
      <c r="S250" s="133">
        <v>0.01</v>
      </c>
      <c r="T250" s="9" t="s">
        <v>624</v>
      </c>
      <c r="U250" s="1" t="s">
        <v>571</v>
      </c>
    </row>
    <row r="251" spans="1:30">
      <c r="A251" s="15" t="s">
        <v>642</v>
      </c>
      <c r="B251" s="9" t="s">
        <v>701</v>
      </c>
      <c r="O251" s="22">
        <v>1</v>
      </c>
      <c r="P251" s="22">
        <v>0</v>
      </c>
      <c r="Q251" s="22">
        <v>0</v>
      </c>
      <c r="R251" s="1" t="s">
        <v>565</v>
      </c>
      <c r="S251" s="135">
        <v>0.01</v>
      </c>
      <c r="T251" s="2" t="s">
        <v>621</v>
      </c>
      <c r="U251" s="12" t="s">
        <v>566</v>
      </c>
    </row>
    <row r="252" spans="1:30">
      <c r="A252" s="15" t="s">
        <v>1133</v>
      </c>
      <c r="B252" s="2" t="s">
        <v>699</v>
      </c>
      <c r="O252" s="22">
        <v>0</v>
      </c>
      <c r="P252" s="22">
        <v>1</v>
      </c>
      <c r="Q252" s="22">
        <v>0</v>
      </c>
      <c r="R252" s="1" t="s">
        <v>570</v>
      </c>
      <c r="S252" s="135">
        <v>0.01</v>
      </c>
      <c r="T252" s="2" t="s">
        <v>628</v>
      </c>
      <c r="U252" s="12" t="s">
        <v>571</v>
      </c>
    </row>
    <row r="253" spans="1:30">
      <c r="A253" s="15" t="s">
        <v>607</v>
      </c>
      <c r="B253" s="9" t="s">
        <v>699</v>
      </c>
      <c r="O253" s="22">
        <v>0</v>
      </c>
      <c r="P253" s="22">
        <v>0</v>
      </c>
      <c r="Q253" s="22">
        <v>3</v>
      </c>
      <c r="R253" s="1" t="s">
        <v>570</v>
      </c>
      <c r="AB253" s="22">
        <v>90</v>
      </c>
      <c r="AD253" s="22">
        <v>2</v>
      </c>
    </row>
    <row r="254" spans="1:30">
      <c r="A254" s="15" t="s">
        <v>606</v>
      </c>
      <c r="B254" s="9" t="s">
        <v>699</v>
      </c>
      <c r="O254" s="22">
        <v>0</v>
      </c>
      <c r="P254" s="22">
        <v>0</v>
      </c>
      <c r="Q254" s="22">
        <v>3</v>
      </c>
      <c r="R254" s="1" t="s">
        <v>570</v>
      </c>
      <c r="AB254" s="22">
        <v>90</v>
      </c>
      <c r="AD254" s="22">
        <v>1</v>
      </c>
    </row>
    <row r="255" spans="1:30">
      <c r="A255" s="15" t="s">
        <v>613</v>
      </c>
      <c r="B255" s="9" t="s">
        <v>699</v>
      </c>
      <c r="O255" s="22">
        <v>1</v>
      </c>
      <c r="P255" s="22">
        <v>0</v>
      </c>
      <c r="Q255" s="22">
        <v>0</v>
      </c>
      <c r="R255" s="1" t="s">
        <v>570</v>
      </c>
      <c r="S255" s="135">
        <v>0.01</v>
      </c>
      <c r="T255" s="2" t="s">
        <v>622</v>
      </c>
      <c r="U255" s="12" t="s">
        <v>571</v>
      </c>
      <c r="AB255" s="22">
        <v>35</v>
      </c>
      <c r="AD255" s="22">
        <v>2</v>
      </c>
    </row>
    <row r="256" spans="1:30">
      <c r="A256" s="15" t="s">
        <v>646</v>
      </c>
      <c r="B256" s="9" t="s">
        <v>699</v>
      </c>
      <c r="O256" s="22">
        <v>0</v>
      </c>
      <c r="P256" s="22">
        <v>3</v>
      </c>
      <c r="Q256" s="22">
        <v>0</v>
      </c>
      <c r="R256" s="1" t="s">
        <v>570</v>
      </c>
    </row>
    <row r="257" spans="1:30">
      <c r="A257" s="4" t="s">
        <v>647</v>
      </c>
      <c r="B257" s="9" t="s">
        <v>701</v>
      </c>
      <c r="O257" s="22">
        <v>6</v>
      </c>
      <c r="P257" s="22">
        <v>0</v>
      </c>
      <c r="Q257" s="22">
        <v>0</v>
      </c>
      <c r="R257" s="1" t="s">
        <v>565</v>
      </c>
    </row>
    <row r="258" spans="1:30">
      <c r="A258" s="4" t="s">
        <v>649</v>
      </c>
      <c r="B258" s="9" t="s">
        <v>701</v>
      </c>
      <c r="O258" s="22">
        <v>3</v>
      </c>
      <c r="P258" s="22">
        <v>0</v>
      </c>
      <c r="Q258" s="22">
        <v>0</v>
      </c>
      <c r="R258" s="1" t="s">
        <v>570</v>
      </c>
      <c r="S258" s="133">
        <v>0.03</v>
      </c>
      <c r="T258" s="9" t="s">
        <v>623</v>
      </c>
      <c r="U258" s="1" t="s">
        <v>571</v>
      </c>
      <c r="AB258" s="22">
        <v>148</v>
      </c>
    </row>
    <row r="259" spans="1:30">
      <c r="A259" s="4" t="s">
        <v>1134</v>
      </c>
      <c r="B259" s="2" t="s">
        <v>1136</v>
      </c>
      <c r="O259" s="22">
        <v>0</v>
      </c>
      <c r="P259" s="22">
        <v>3</v>
      </c>
      <c r="Q259" s="22">
        <v>0</v>
      </c>
      <c r="R259" s="1" t="s">
        <v>565</v>
      </c>
      <c r="S259" s="133">
        <v>0.03</v>
      </c>
      <c r="T259" s="9" t="s">
        <v>625</v>
      </c>
      <c r="U259" s="1" t="s">
        <v>566</v>
      </c>
    </row>
    <row r="260" spans="1:30">
      <c r="A260" s="4" t="s">
        <v>651</v>
      </c>
      <c r="B260" s="9" t="s">
        <v>699</v>
      </c>
      <c r="O260" s="22">
        <v>0</v>
      </c>
      <c r="P260" s="22">
        <v>3</v>
      </c>
      <c r="Q260" s="22">
        <v>0</v>
      </c>
      <c r="R260" s="1" t="s">
        <v>565</v>
      </c>
      <c r="S260" s="133">
        <v>0.03</v>
      </c>
      <c r="T260" s="9" t="s">
        <v>628</v>
      </c>
      <c r="U260" s="1" t="s">
        <v>566</v>
      </c>
    </row>
    <row r="261" spans="1:30">
      <c r="A261" s="4" t="s">
        <v>1132</v>
      </c>
      <c r="B261" s="2" t="s">
        <v>699</v>
      </c>
      <c r="O261" s="22">
        <v>0</v>
      </c>
      <c r="P261" s="22">
        <v>3</v>
      </c>
      <c r="Q261" s="22">
        <v>0</v>
      </c>
      <c r="R261" s="1" t="s">
        <v>565</v>
      </c>
      <c r="S261" s="133">
        <v>0.03</v>
      </c>
      <c r="T261" s="2" t="s">
        <v>624</v>
      </c>
      <c r="U261" s="1" t="s">
        <v>566</v>
      </c>
    </row>
    <row r="262" spans="1:30">
      <c r="A262" s="4" t="s">
        <v>653</v>
      </c>
      <c r="B262" s="9" t="s">
        <v>701</v>
      </c>
      <c r="O262" s="22">
        <v>3</v>
      </c>
      <c r="P262" s="22">
        <v>0</v>
      </c>
      <c r="Q262" s="22">
        <v>0</v>
      </c>
      <c r="R262" s="1" t="s">
        <v>570</v>
      </c>
      <c r="S262" s="135">
        <v>0.03</v>
      </c>
      <c r="T262" s="2" t="s">
        <v>621</v>
      </c>
      <c r="U262" s="12" t="s">
        <v>571</v>
      </c>
      <c r="AB262" s="22">
        <v>148</v>
      </c>
    </row>
    <row r="263" spans="1:30">
      <c r="A263" s="4" t="s">
        <v>655</v>
      </c>
      <c r="B263" s="9" t="s">
        <v>699</v>
      </c>
      <c r="O263" s="22">
        <v>3</v>
      </c>
      <c r="P263" s="22">
        <v>0</v>
      </c>
      <c r="Q263" s="22">
        <v>0</v>
      </c>
      <c r="R263" s="1" t="s">
        <v>565</v>
      </c>
      <c r="S263" s="135">
        <v>0.02</v>
      </c>
      <c r="T263" s="2" t="s">
        <v>561</v>
      </c>
      <c r="U263" s="12" t="s">
        <v>571</v>
      </c>
    </row>
    <row r="264" spans="1:30">
      <c r="A264" s="4" t="s">
        <v>657</v>
      </c>
      <c r="B264" s="9" t="s">
        <v>701</v>
      </c>
      <c r="O264" s="22">
        <v>0</v>
      </c>
      <c r="P264" s="22">
        <v>6</v>
      </c>
      <c r="Q264" s="22">
        <v>0</v>
      </c>
      <c r="R264" s="1" t="s">
        <v>565</v>
      </c>
    </row>
    <row r="265" spans="1:30">
      <c r="A265" s="4" t="s">
        <v>659</v>
      </c>
      <c r="B265" s="9" t="s">
        <v>699</v>
      </c>
      <c r="O265" s="22">
        <v>0</v>
      </c>
      <c r="P265" s="22">
        <v>0</v>
      </c>
      <c r="Q265" s="22">
        <v>3</v>
      </c>
      <c r="R265" s="1" t="s">
        <v>565</v>
      </c>
      <c r="S265" s="135">
        <v>0.03</v>
      </c>
      <c r="T265" s="2" t="s">
        <v>1095</v>
      </c>
      <c r="U265" s="12" t="s">
        <v>566</v>
      </c>
    </row>
    <row r="266" spans="1:30">
      <c r="A266" s="4" t="s">
        <v>661</v>
      </c>
      <c r="B266" s="9" t="s">
        <v>701</v>
      </c>
      <c r="O266" s="22">
        <v>0</v>
      </c>
      <c r="P266" s="22">
        <v>0</v>
      </c>
      <c r="Q266" s="22">
        <v>3</v>
      </c>
      <c r="R266" s="1" t="s">
        <v>570</v>
      </c>
      <c r="S266" s="135">
        <v>0.03</v>
      </c>
      <c r="T266" s="2" t="s">
        <v>629</v>
      </c>
      <c r="U266" s="12" t="s">
        <v>571</v>
      </c>
    </row>
    <row r="267" spans="1:30">
      <c r="A267" s="4" t="s">
        <v>1137</v>
      </c>
      <c r="B267" s="2" t="s">
        <v>699</v>
      </c>
      <c r="O267" s="22">
        <v>0</v>
      </c>
      <c r="P267" s="22">
        <v>0</v>
      </c>
      <c r="Q267" s="22">
        <v>3</v>
      </c>
      <c r="R267" s="1" t="s">
        <v>565</v>
      </c>
      <c r="S267" s="135">
        <v>0.03</v>
      </c>
      <c r="T267" s="2" t="s">
        <v>629</v>
      </c>
      <c r="U267" s="12" t="s">
        <v>566</v>
      </c>
    </row>
    <row r="268" spans="1:30" s="20" customFormat="1">
      <c r="A268" s="38" t="s">
        <v>663</v>
      </c>
      <c r="B268" s="20" t="s">
        <v>699</v>
      </c>
      <c r="F268" s="26"/>
      <c r="N268" s="26"/>
      <c r="O268" s="33">
        <v>3</v>
      </c>
      <c r="P268" s="33">
        <v>0</v>
      </c>
      <c r="Q268" s="33">
        <v>0</v>
      </c>
      <c r="R268" s="26" t="s">
        <v>565</v>
      </c>
      <c r="S268" s="134">
        <v>0.03</v>
      </c>
      <c r="T268" s="20" t="s">
        <v>623</v>
      </c>
      <c r="U268" s="26" t="s">
        <v>566</v>
      </c>
      <c r="V268" s="134"/>
      <c r="X268" s="26"/>
      <c r="Z268" s="33"/>
      <c r="AA268" s="33"/>
      <c r="AB268" s="33"/>
      <c r="AC268" s="112"/>
      <c r="AD268" s="33"/>
    </row>
    <row r="269" spans="1:30">
      <c r="A269" s="57" t="s">
        <v>665</v>
      </c>
      <c r="B269" s="9" t="s">
        <v>699</v>
      </c>
      <c r="O269" s="22">
        <v>6</v>
      </c>
      <c r="P269" s="22">
        <v>0</v>
      </c>
      <c r="Q269" s="22">
        <v>0</v>
      </c>
      <c r="R269" s="1" t="s">
        <v>565</v>
      </c>
    </row>
    <row r="270" spans="1:30">
      <c r="A270" s="57" t="s">
        <v>637</v>
      </c>
      <c r="B270" s="9" t="s">
        <v>701</v>
      </c>
      <c r="O270" s="22">
        <v>3</v>
      </c>
      <c r="P270" s="22">
        <v>0</v>
      </c>
      <c r="Q270" s="22">
        <v>0</v>
      </c>
      <c r="R270" s="1" t="s">
        <v>565</v>
      </c>
      <c r="S270" s="135">
        <v>0.03</v>
      </c>
      <c r="T270" s="2" t="s">
        <v>622</v>
      </c>
      <c r="U270" s="12" t="s">
        <v>566</v>
      </c>
    </row>
    <row r="271" spans="1:30">
      <c r="A271" s="4" t="s">
        <v>667</v>
      </c>
      <c r="B271" s="9" t="s">
        <v>701</v>
      </c>
      <c r="O271" s="22">
        <v>0</v>
      </c>
      <c r="P271" s="22">
        <v>3</v>
      </c>
      <c r="Q271" s="22">
        <v>0</v>
      </c>
      <c r="R271" s="1" t="s">
        <v>570</v>
      </c>
      <c r="S271" s="135">
        <v>0.03</v>
      </c>
      <c r="T271" s="2" t="s">
        <v>625</v>
      </c>
      <c r="U271" s="12" t="s">
        <v>571</v>
      </c>
    </row>
    <row r="272" spans="1:30">
      <c r="A272" s="57" t="s">
        <v>669</v>
      </c>
      <c r="B272" s="9" t="s">
        <v>699</v>
      </c>
      <c r="O272" s="22">
        <v>0</v>
      </c>
      <c r="P272" s="22">
        <v>3</v>
      </c>
      <c r="Q272" s="22">
        <v>0</v>
      </c>
      <c r="R272" s="1" t="s">
        <v>570</v>
      </c>
      <c r="S272" s="135">
        <v>0.03</v>
      </c>
      <c r="T272" s="2" t="s">
        <v>624</v>
      </c>
      <c r="U272" s="12" t="s">
        <v>571</v>
      </c>
    </row>
    <row r="273" spans="1:21">
      <c r="A273" s="4" t="s">
        <v>671</v>
      </c>
      <c r="B273" s="9" t="s">
        <v>701</v>
      </c>
      <c r="O273" s="22">
        <v>3</v>
      </c>
      <c r="P273" s="22">
        <v>0</v>
      </c>
      <c r="Q273" s="22">
        <v>0</v>
      </c>
      <c r="R273" s="1" t="s">
        <v>565</v>
      </c>
      <c r="S273" s="135">
        <v>0.03</v>
      </c>
      <c r="T273" s="2" t="s">
        <v>621</v>
      </c>
      <c r="U273" s="12" t="s">
        <v>566</v>
      </c>
    </row>
    <row r="274" spans="1:21">
      <c r="A274" s="4" t="s">
        <v>1140</v>
      </c>
      <c r="B274" s="2" t="s">
        <v>699</v>
      </c>
      <c r="O274" s="22">
        <v>0</v>
      </c>
      <c r="P274" s="22">
        <v>3</v>
      </c>
      <c r="Q274" s="22">
        <v>0</v>
      </c>
      <c r="R274" s="1" t="s">
        <v>570</v>
      </c>
      <c r="S274" s="135">
        <v>0.03</v>
      </c>
      <c r="T274" s="2" t="s">
        <v>628</v>
      </c>
      <c r="U274" s="12" t="s">
        <v>571</v>
      </c>
    </row>
    <row r="275" spans="1:21">
      <c r="A275" s="4" t="s">
        <v>673</v>
      </c>
      <c r="B275" s="9" t="s">
        <v>699</v>
      </c>
      <c r="O275" s="22">
        <v>0</v>
      </c>
      <c r="P275" s="22">
        <v>0</v>
      </c>
      <c r="Q275" s="22">
        <v>6</v>
      </c>
      <c r="R275" s="1" t="s">
        <v>570</v>
      </c>
    </row>
    <row r="276" spans="1:21">
      <c r="A276" s="4" t="s">
        <v>675</v>
      </c>
      <c r="B276" s="9" t="s">
        <v>701</v>
      </c>
      <c r="O276" s="22">
        <v>0</v>
      </c>
      <c r="P276" s="22">
        <v>0</v>
      </c>
      <c r="Q276" s="22">
        <v>6</v>
      </c>
      <c r="R276" s="1" t="s">
        <v>570</v>
      </c>
    </row>
    <row r="277" spans="1:21">
      <c r="A277" s="4" t="s">
        <v>677</v>
      </c>
      <c r="B277" s="9" t="s">
        <v>701</v>
      </c>
      <c r="O277" s="22">
        <v>3</v>
      </c>
      <c r="P277" s="22">
        <v>0</v>
      </c>
      <c r="Q277" s="22">
        <v>0</v>
      </c>
      <c r="R277" s="1" t="s">
        <v>570</v>
      </c>
      <c r="S277" s="135">
        <v>0.03</v>
      </c>
      <c r="T277" s="2" t="s">
        <v>622</v>
      </c>
      <c r="U277" s="12" t="s">
        <v>571</v>
      </c>
    </row>
    <row r="278" spans="1:21">
      <c r="A278" s="4" t="s">
        <v>854</v>
      </c>
      <c r="B278" s="9" t="s">
        <v>701</v>
      </c>
      <c r="O278" s="22">
        <v>0</v>
      </c>
      <c r="P278" s="22">
        <v>6</v>
      </c>
      <c r="Q278" s="22">
        <v>0</v>
      </c>
      <c r="R278" s="1" t="s">
        <v>570</v>
      </c>
    </row>
    <row r="279" spans="1:21">
      <c r="A279" s="5" t="s">
        <v>679</v>
      </c>
      <c r="B279" s="9" t="s">
        <v>701</v>
      </c>
      <c r="O279" s="22">
        <v>15</v>
      </c>
      <c r="P279" s="22">
        <v>0</v>
      </c>
      <c r="Q279" s="22">
        <v>0</v>
      </c>
      <c r="R279" s="1" t="s">
        <v>565</v>
      </c>
    </row>
    <row r="280" spans="1:21">
      <c r="A280" s="5" t="s">
        <v>681</v>
      </c>
      <c r="B280" s="9" t="s">
        <v>699</v>
      </c>
      <c r="O280" s="22">
        <v>10</v>
      </c>
      <c r="P280" s="22">
        <v>0</v>
      </c>
      <c r="Q280" s="22">
        <v>0</v>
      </c>
      <c r="R280" s="1" t="s">
        <v>570</v>
      </c>
      <c r="S280" s="133">
        <v>0.06</v>
      </c>
      <c r="T280" s="9" t="s">
        <v>623</v>
      </c>
      <c r="U280" s="1" t="s">
        <v>571</v>
      </c>
    </row>
    <row r="281" spans="1:21">
      <c r="A281" s="5" t="s">
        <v>1141</v>
      </c>
      <c r="B281" s="2" t="s">
        <v>699</v>
      </c>
      <c r="O281" s="22">
        <v>0</v>
      </c>
      <c r="P281" s="22">
        <v>10</v>
      </c>
      <c r="Q281" s="22">
        <v>0</v>
      </c>
      <c r="R281" s="1" t="s">
        <v>565</v>
      </c>
      <c r="S281" s="133">
        <v>0.06</v>
      </c>
      <c r="T281" s="9" t="s">
        <v>625</v>
      </c>
      <c r="U281" s="1" t="s">
        <v>566</v>
      </c>
    </row>
    <row r="282" spans="1:21">
      <c r="A282" s="5" t="s">
        <v>682</v>
      </c>
      <c r="B282" s="9" t="s">
        <v>699</v>
      </c>
      <c r="O282" s="22">
        <v>0</v>
      </c>
      <c r="P282" s="22">
        <v>10</v>
      </c>
      <c r="Q282" s="22">
        <v>0</v>
      </c>
      <c r="R282" s="1" t="s">
        <v>565</v>
      </c>
      <c r="S282" s="133">
        <v>0.06</v>
      </c>
      <c r="T282" s="9" t="s">
        <v>628</v>
      </c>
      <c r="U282" s="1" t="s">
        <v>566</v>
      </c>
    </row>
    <row r="283" spans="1:21">
      <c r="A283" s="5" t="s">
        <v>1139</v>
      </c>
      <c r="B283" s="2" t="s">
        <v>699</v>
      </c>
      <c r="O283" s="22">
        <v>0</v>
      </c>
      <c r="P283" s="22">
        <v>10</v>
      </c>
      <c r="Q283" s="22">
        <v>0</v>
      </c>
      <c r="R283" s="1" t="s">
        <v>565</v>
      </c>
      <c r="S283" s="133">
        <v>0.06</v>
      </c>
      <c r="T283" s="2" t="s">
        <v>624</v>
      </c>
      <c r="U283" s="1" t="s">
        <v>566</v>
      </c>
    </row>
    <row r="284" spans="1:21">
      <c r="A284" s="5" t="s">
        <v>683</v>
      </c>
      <c r="B284" s="9" t="s">
        <v>699</v>
      </c>
      <c r="O284" s="22">
        <v>10</v>
      </c>
      <c r="P284" s="22">
        <v>0</v>
      </c>
      <c r="Q284" s="22">
        <v>0</v>
      </c>
      <c r="R284" s="1" t="s">
        <v>570</v>
      </c>
      <c r="S284" s="135">
        <v>0.06</v>
      </c>
      <c r="T284" s="2" t="s">
        <v>621</v>
      </c>
      <c r="U284" s="12" t="s">
        <v>571</v>
      </c>
    </row>
    <row r="285" spans="1:21">
      <c r="A285" s="5" t="s">
        <v>684</v>
      </c>
      <c r="B285" s="9" t="s">
        <v>701</v>
      </c>
      <c r="O285" s="22">
        <v>6</v>
      </c>
      <c r="P285" s="22">
        <v>0</v>
      </c>
      <c r="Q285" s="22">
        <v>0</v>
      </c>
      <c r="R285" s="1" t="s">
        <v>565</v>
      </c>
      <c r="S285" s="135">
        <v>0.04</v>
      </c>
      <c r="T285" s="2" t="s">
        <v>561</v>
      </c>
      <c r="U285" s="12" t="s">
        <v>571</v>
      </c>
    </row>
    <row r="286" spans="1:21">
      <c r="A286" s="5" t="s">
        <v>685</v>
      </c>
      <c r="B286" s="9" t="s">
        <v>699</v>
      </c>
      <c r="O286" s="22">
        <v>0</v>
      </c>
      <c r="P286" s="22">
        <v>15</v>
      </c>
      <c r="Q286" s="22">
        <v>0</v>
      </c>
      <c r="R286" s="1" t="s">
        <v>565</v>
      </c>
    </row>
    <row r="287" spans="1:21">
      <c r="A287" s="5" t="s">
        <v>686</v>
      </c>
      <c r="B287" s="9" t="s">
        <v>701</v>
      </c>
      <c r="O287" s="22">
        <v>0</v>
      </c>
      <c r="P287" s="22">
        <v>0</v>
      </c>
      <c r="Q287" s="22">
        <v>6</v>
      </c>
      <c r="R287" s="1" t="s">
        <v>565</v>
      </c>
      <c r="S287" s="135">
        <v>0.06</v>
      </c>
      <c r="T287" s="2" t="s">
        <v>627</v>
      </c>
      <c r="U287" s="12" t="s">
        <v>566</v>
      </c>
    </row>
    <row r="288" spans="1:21">
      <c r="A288" s="5" t="s">
        <v>687</v>
      </c>
      <c r="B288" s="9" t="s">
        <v>699</v>
      </c>
      <c r="O288" s="22">
        <v>0</v>
      </c>
      <c r="P288" s="22">
        <v>0</v>
      </c>
      <c r="Q288" s="22">
        <v>10</v>
      </c>
      <c r="R288" s="1" t="s">
        <v>570</v>
      </c>
      <c r="S288" s="135">
        <v>0.06</v>
      </c>
      <c r="T288" s="2" t="s">
        <v>629</v>
      </c>
      <c r="U288" s="12" t="s">
        <v>571</v>
      </c>
    </row>
    <row r="289" spans="1:30">
      <c r="A289" s="5" t="s">
        <v>1143</v>
      </c>
      <c r="B289" s="2" t="s">
        <v>699</v>
      </c>
      <c r="O289" s="22">
        <v>0</v>
      </c>
      <c r="P289" s="22">
        <v>0</v>
      </c>
      <c r="Q289" s="22">
        <v>6</v>
      </c>
      <c r="R289" s="1" t="s">
        <v>565</v>
      </c>
      <c r="S289" s="135">
        <v>0.06</v>
      </c>
      <c r="T289" s="2" t="s">
        <v>629</v>
      </c>
      <c r="U289" s="12" t="s">
        <v>566</v>
      </c>
    </row>
    <row r="290" spans="1:30" s="20" customFormat="1">
      <c r="A290" s="27" t="s">
        <v>688</v>
      </c>
      <c r="B290" s="20" t="s">
        <v>699</v>
      </c>
      <c r="F290" s="26"/>
      <c r="N290" s="26"/>
      <c r="O290" s="33">
        <v>6</v>
      </c>
      <c r="P290" s="33">
        <v>0</v>
      </c>
      <c r="Q290" s="33">
        <v>0</v>
      </c>
      <c r="R290" s="26" t="s">
        <v>565</v>
      </c>
      <c r="S290" s="134">
        <v>0.06</v>
      </c>
      <c r="T290" s="20" t="s">
        <v>623</v>
      </c>
      <c r="U290" s="26" t="s">
        <v>566</v>
      </c>
      <c r="V290" s="134"/>
      <c r="X290" s="26"/>
      <c r="Z290" s="33"/>
      <c r="AA290" s="33"/>
      <c r="AB290" s="33"/>
      <c r="AC290" s="112"/>
      <c r="AD290" s="33"/>
    </row>
    <row r="291" spans="1:30">
      <c r="A291" s="4" t="s">
        <v>615</v>
      </c>
      <c r="B291" s="2" t="s">
        <v>701</v>
      </c>
      <c r="O291" s="22">
        <v>2</v>
      </c>
      <c r="P291" s="22">
        <v>0</v>
      </c>
      <c r="Q291" s="22">
        <v>0</v>
      </c>
      <c r="R291" s="1" t="s">
        <v>570</v>
      </c>
      <c r="S291" s="133">
        <v>0.02</v>
      </c>
      <c r="T291" s="2" t="s">
        <v>622</v>
      </c>
      <c r="U291" s="1" t="s">
        <v>571</v>
      </c>
      <c r="V291" s="109">
        <v>0.02</v>
      </c>
      <c r="W291" s="9" t="s">
        <v>629</v>
      </c>
      <c r="X291" s="1" t="s">
        <v>571</v>
      </c>
      <c r="AD291" s="22">
        <v>1</v>
      </c>
    </row>
    <row r="292" spans="1:30">
      <c r="A292" s="4" t="s">
        <v>616</v>
      </c>
      <c r="B292" s="9" t="s">
        <v>699</v>
      </c>
      <c r="O292" s="22">
        <v>3</v>
      </c>
      <c r="P292" s="22">
        <v>0</v>
      </c>
      <c r="Q292" s="22">
        <v>0</v>
      </c>
      <c r="R292" s="1" t="s">
        <v>570</v>
      </c>
      <c r="S292" s="133">
        <v>0.03</v>
      </c>
      <c r="T292" s="2" t="s">
        <v>621</v>
      </c>
      <c r="U292" s="1" t="s">
        <v>571</v>
      </c>
      <c r="AD292" s="22">
        <v>2</v>
      </c>
    </row>
    <row r="293" spans="1:30">
      <c r="A293" s="62" t="s">
        <v>601</v>
      </c>
      <c r="B293" s="9" t="s">
        <v>701</v>
      </c>
      <c r="O293" s="22">
        <v>0</v>
      </c>
      <c r="P293" s="22">
        <v>3</v>
      </c>
      <c r="Q293" s="22">
        <v>0</v>
      </c>
      <c r="R293" s="1" t="s">
        <v>565</v>
      </c>
      <c r="S293" s="133">
        <v>0.03</v>
      </c>
      <c r="T293" s="2" t="s">
        <v>624</v>
      </c>
      <c r="U293" s="1" t="s">
        <v>566</v>
      </c>
      <c r="AD293" s="22">
        <v>2</v>
      </c>
    </row>
    <row r="294" spans="1:30">
      <c r="A294" s="4" t="s">
        <v>641</v>
      </c>
      <c r="B294" s="9" t="s">
        <v>699</v>
      </c>
      <c r="O294" s="22">
        <v>0</v>
      </c>
      <c r="P294" s="22">
        <v>0</v>
      </c>
      <c r="Q294" s="22">
        <v>3</v>
      </c>
      <c r="R294" s="1" t="s">
        <v>565</v>
      </c>
      <c r="S294" s="135">
        <v>0.03</v>
      </c>
      <c r="T294" s="2" t="s">
        <v>626</v>
      </c>
      <c r="U294" s="12" t="s">
        <v>566</v>
      </c>
    </row>
    <row r="295" spans="1:30">
      <c r="A295" s="4" t="s">
        <v>643</v>
      </c>
      <c r="B295" s="9" t="s">
        <v>699</v>
      </c>
      <c r="O295" s="22">
        <v>3</v>
      </c>
      <c r="P295" s="22">
        <v>0</v>
      </c>
      <c r="Q295" s="22">
        <v>0</v>
      </c>
      <c r="R295" s="1" t="s">
        <v>570</v>
      </c>
      <c r="S295" s="135">
        <v>0.03</v>
      </c>
      <c r="T295" s="2" t="s">
        <v>622</v>
      </c>
      <c r="U295" s="12" t="s">
        <v>571</v>
      </c>
    </row>
    <row r="296" spans="1:30">
      <c r="A296" s="4" t="s">
        <v>644</v>
      </c>
      <c r="B296" s="9" t="s">
        <v>699</v>
      </c>
      <c r="O296" s="22">
        <v>0</v>
      </c>
      <c r="P296" s="22">
        <v>3</v>
      </c>
      <c r="Q296" s="22">
        <v>0</v>
      </c>
      <c r="R296" s="1" t="s">
        <v>565</v>
      </c>
      <c r="S296" s="135">
        <v>0.03</v>
      </c>
      <c r="T296" s="2" t="s">
        <v>628</v>
      </c>
      <c r="U296" s="12" t="s">
        <v>566</v>
      </c>
    </row>
    <row r="297" spans="1:30">
      <c r="A297" s="4" t="s">
        <v>602</v>
      </c>
      <c r="B297" s="9" t="s">
        <v>699</v>
      </c>
      <c r="O297" s="22">
        <v>6</v>
      </c>
      <c r="P297" s="22">
        <v>0</v>
      </c>
      <c r="Q297" s="22">
        <v>0</v>
      </c>
      <c r="R297" s="1" t="s">
        <v>565</v>
      </c>
      <c r="AD297" s="22">
        <v>1</v>
      </c>
    </row>
    <row r="298" spans="1:30">
      <c r="A298" s="4" t="s">
        <v>645</v>
      </c>
      <c r="B298" s="9" t="s">
        <v>699</v>
      </c>
      <c r="O298" s="22">
        <v>4</v>
      </c>
      <c r="P298" s="22">
        <v>4</v>
      </c>
      <c r="Q298" s="22">
        <v>0</v>
      </c>
      <c r="R298" s="1" t="s">
        <v>567</v>
      </c>
    </row>
    <row r="299" spans="1:30">
      <c r="A299" s="4" t="s">
        <v>618</v>
      </c>
      <c r="B299" s="9" t="s">
        <v>699</v>
      </c>
      <c r="N299" s="9"/>
      <c r="O299" s="61">
        <v>0</v>
      </c>
      <c r="P299" s="60">
        <v>3</v>
      </c>
      <c r="Q299" s="22">
        <v>0</v>
      </c>
      <c r="R299" s="1" t="s">
        <v>565</v>
      </c>
      <c r="S299" s="133">
        <v>0.03</v>
      </c>
      <c r="T299" s="2" t="s">
        <v>625</v>
      </c>
      <c r="U299" s="1" t="s">
        <v>566</v>
      </c>
      <c r="AD299" s="22">
        <v>1</v>
      </c>
    </row>
    <row r="300" spans="1:30">
      <c r="A300" s="5" t="s">
        <v>648</v>
      </c>
      <c r="B300" s="9" t="s">
        <v>699</v>
      </c>
      <c r="O300" s="22">
        <v>0</v>
      </c>
      <c r="P300" s="22">
        <v>0</v>
      </c>
      <c r="Q300" s="22">
        <v>10</v>
      </c>
      <c r="R300" s="1" t="s">
        <v>570</v>
      </c>
      <c r="S300" s="135">
        <v>0.06</v>
      </c>
      <c r="T300" s="2" t="s">
        <v>626</v>
      </c>
      <c r="U300" s="12" t="s">
        <v>571</v>
      </c>
    </row>
    <row r="301" spans="1:30">
      <c r="A301" s="5" t="s">
        <v>650</v>
      </c>
      <c r="B301" s="9" t="s">
        <v>699</v>
      </c>
      <c r="O301" s="22">
        <v>15</v>
      </c>
      <c r="P301" s="22">
        <v>0</v>
      </c>
      <c r="Q301" s="22">
        <v>0</v>
      </c>
      <c r="R301" s="1" t="s">
        <v>565</v>
      </c>
    </row>
    <row r="302" spans="1:30">
      <c r="A302" s="5" t="s">
        <v>652</v>
      </c>
      <c r="B302" s="9" t="s">
        <v>699</v>
      </c>
      <c r="O302" s="22">
        <v>0</v>
      </c>
      <c r="P302" s="22">
        <v>10</v>
      </c>
      <c r="Q302" s="22">
        <v>0</v>
      </c>
      <c r="R302" s="1" t="s">
        <v>570</v>
      </c>
      <c r="S302" s="133">
        <v>0.06</v>
      </c>
      <c r="T302" s="9" t="s">
        <v>624</v>
      </c>
      <c r="U302" s="1" t="s">
        <v>571</v>
      </c>
    </row>
    <row r="303" spans="1:30">
      <c r="A303" s="5" t="s">
        <v>1135</v>
      </c>
      <c r="B303" s="2" t="s">
        <v>699</v>
      </c>
      <c r="O303" s="22">
        <v>0</v>
      </c>
      <c r="P303" s="22">
        <v>10</v>
      </c>
      <c r="Q303" s="22">
        <v>0</v>
      </c>
      <c r="R303" s="1" t="s">
        <v>570</v>
      </c>
      <c r="S303" s="133">
        <v>0.06</v>
      </c>
      <c r="T303" s="2" t="s">
        <v>628</v>
      </c>
      <c r="U303" s="1" t="s">
        <v>571</v>
      </c>
    </row>
    <row r="304" spans="1:30">
      <c r="A304" s="5" t="s">
        <v>654</v>
      </c>
      <c r="B304" s="9" t="s">
        <v>699</v>
      </c>
      <c r="O304" s="22">
        <v>10</v>
      </c>
      <c r="P304" s="22">
        <v>0</v>
      </c>
      <c r="Q304" s="22">
        <v>0</v>
      </c>
      <c r="R304" s="1" t="s">
        <v>565</v>
      </c>
      <c r="S304" s="135">
        <v>0.06</v>
      </c>
      <c r="T304" s="2" t="s">
        <v>622</v>
      </c>
      <c r="U304" s="12" t="s">
        <v>566</v>
      </c>
    </row>
    <row r="305" spans="1:30">
      <c r="A305" s="5" t="s">
        <v>656</v>
      </c>
      <c r="B305" s="9" t="s">
        <v>699</v>
      </c>
      <c r="O305" s="22">
        <v>15</v>
      </c>
      <c r="P305" s="22">
        <v>0</v>
      </c>
      <c r="Q305" s="22">
        <v>0</v>
      </c>
      <c r="R305" s="1" t="s">
        <v>570</v>
      </c>
    </row>
    <row r="306" spans="1:30">
      <c r="A306" s="5" t="s">
        <v>658</v>
      </c>
      <c r="B306" s="9" t="s">
        <v>699</v>
      </c>
      <c r="O306" s="22">
        <v>0</v>
      </c>
      <c r="P306" s="22">
        <v>0</v>
      </c>
      <c r="Q306" s="22">
        <v>10</v>
      </c>
      <c r="R306" s="1" t="s">
        <v>570</v>
      </c>
      <c r="S306" s="135">
        <v>0.06</v>
      </c>
      <c r="T306" s="2" t="s">
        <v>627</v>
      </c>
      <c r="U306" s="12" t="s">
        <v>571</v>
      </c>
    </row>
    <row r="307" spans="1:30">
      <c r="A307" s="5" t="s">
        <v>660</v>
      </c>
      <c r="B307" s="9" t="s">
        <v>699</v>
      </c>
      <c r="O307" s="22">
        <v>0</v>
      </c>
      <c r="P307" s="22">
        <v>0</v>
      </c>
      <c r="Q307" s="22">
        <v>10</v>
      </c>
      <c r="R307" s="1" t="s">
        <v>570</v>
      </c>
      <c r="S307" s="135">
        <v>0.06</v>
      </c>
      <c r="T307" s="2" t="s">
        <v>629</v>
      </c>
      <c r="U307" s="12" t="s">
        <v>571</v>
      </c>
    </row>
    <row r="308" spans="1:30">
      <c r="A308" s="5" t="s">
        <v>662</v>
      </c>
      <c r="B308" s="9" t="s">
        <v>699</v>
      </c>
      <c r="O308" s="22">
        <v>10</v>
      </c>
      <c r="P308" s="22">
        <v>0</v>
      </c>
      <c r="Q308" s="22">
        <v>0</v>
      </c>
      <c r="R308" s="1" t="s">
        <v>565</v>
      </c>
      <c r="S308" s="135">
        <v>0.06</v>
      </c>
      <c r="T308" s="2" t="s">
        <v>623</v>
      </c>
      <c r="U308" s="12" t="s">
        <v>566</v>
      </c>
    </row>
    <row r="309" spans="1:30">
      <c r="A309" s="5" t="s">
        <v>1138</v>
      </c>
      <c r="B309" s="2" t="s">
        <v>699</v>
      </c>
      <c r="O309" s="22">
        <v>0</v>
      </c>
      <c r="P309" s="22">
        <v>10</v>
      </c>
      <c r="Q309" s="22">
        <v>10</v>
      </c>
      <c r="R309" s="1" t="s">
        <v>567</v>
      </c>
      <c r="S309" s="135"/>
      <c r="T309" s="2"/>
      <c r="U309" s="12"/>
    </row>
    <row r="310" spans="1:30" s="20" customFormat="1">
      <c r="A310" s="27" t="s">
        <v>664</v>
      </c>
      <c r="B310" s="20" t="s">
        <v>699</v>
      </c>
      <c r="F310" s="26"/>
      <c r="N310" s="26"/>
      <c r="O310" s="33">
        <v>8</v>
      </c>
      <c r="P310" s="33">
        <v>8</v>
      </c>
      <c r="Q310" s="33">
        <v>8</v>
      </c>
      <c r="R310" s="26" t="s">
        <v>567</v>
      </c>
      <c r="S310" s="134"/>
      <c r="U310" s="26"/>
      <c r="V310" s="134"/>
      <c r="X310" s="26"/>
      <c r="Z310" s="33"/>
      <c r="AA310" s="33"/>
      <c r="AB310" s="33"/>
      <c r="AC310" s="112"/>
      <c r="AD310" s="33"/>
    </row>
    <row r="311" spans="1:30">
      <c r="A311" s="5" t="s">
        <v>666</v>
      </c>
      <c r="B311" s="9" t="s">
        <v>699</v>
      </c>
      <c r="O311" s="22">
        <v>9</v>
      </c>
      <c r="P311" s="22">
        <v>0</v>
      </c>
      <c r="Q311" s="22">
        <v>0</v>
      </c>
      <c r="R311" s="1" t="s">
        <v>570</v>
      </c>
      <c r="S311" s="135">
        <v>0.03</v>
      </c>
      <c r="T311" s="2" t="s">
        <v>622</v>
      </c>
      <c r="U311" s="12" t="s">
        <v>571</v>
      </c>
      <c r="V311" s="109">
        <v>0.03</v>
      </c>
      <c r="W311" s="9" t="s">
        <v>629</v>
      </c>
      <c r="X311" s="1" t="s">
        <v>571</v>
      </c>
    </row>
    <row r="312" spans="1:30">
      <c r="A312" s="5" t="s">
        <v>638</v>
      </c>
      <c r="B312" s="9" t="s">
        <v>699</v>
      </c>
      <c r="O312" s="22">
        <v>10</v>
      </c>
      <c r="P312" s="22">
        <v>0</v>
      </c>
      <c r="Q312" s="22">
        <v>0</v>
      </c>
      <c r="R312" s="1" t="s">
        <v>570</v>
      </c>
      <c r="S312" s="135">
        <v>0.06</v>
      </c>
      <c r="T312" s="2" t="s">
        <v>621</v>
      </c>
      <c r="U312" s="12" t="s">
        <v>571</v>
      </c>
    </row>
    <row r="313" spans="1:30">
      <c r="A313" s="5" t="s">
        <v>668</v>
      </c>
      <c r="B313" s="9" t="s">
        <v>699</v>
      </c>
      <c r="O313" s="22">
        <v>0</v>
      </c>
      <c r="P313" s="22">
        <v>10</v>
      </c>
      <c r="Q313" s="22">
        <v>0</v>
      </c>
      <c r="R313" s="1" t="s">
        <v>565</v>
      </c>
      <c r="S313" s="135">
        <v>0.06</v>
      </c>
      <c r="T313" s="2" t="s">
        <v>624</v>
      </c>
      <c r="U313" s="12" t="s">
        <v>566</v>
      </c>
    </row>
    <row r="314" spans="1:30">
      <c r="A314" s="5" t="s">
        <v>670</v>
      </c>
      <c r="B314" s="9" t="s">
        <v>699</v>
      </c>
      <c r="O314" s="22">
        <v>0</v>
      </c>
      <c r="P314" s="22">
        <v>0</v>
      </c>
      <c r="Q314" s="22">
        <v>10</v>
      </c>
      <c r="R314" s="1" t="s">
        <v>565</v>
      </c>
      <c r="S314" s="135">
        <v>0.06</v>
      </c>
      <c r="T314" s="2" t="s">
        <v>626</v>
      </c>
      <c r="U314" s="12" t="s">
        <v>566</v>
      </c>
    </row>
    <row r="315" spans="1:30">
      <c r="A315" s="5" t="s">
        <v>672</v>
      </c>
      <c r="B315" s="9" t="s">
        <v>699</v>
      </c>
      <c r="O315" s="22">
        <v>10</v>
      </c>
      <c r="P315" s="22">
        <v>0</v>
      </c>
      <c r="Q315" s="22">
        <v>0</v>
      </c>
      <c r="R315" s="1" t="s">
        <v>570</v>
      </c>
      <c r="S315" s="135">
        <v>0.06</v>
      </c>
      <c r="T315" s="2" t="s">
        <v>622</v>
      </c>
      <c r="U315" s="12" t="s">
        <v>571</v>
      </c>
    </row>
    <row r="316" spans="1:30">
      <c r="A316" s="5" t="s">
        <v>674</v>
      </c>
      <c r="B316" s="9" t="s">
        <v>699</v>
      </c>
      <c r="O316" s="22">
        <v>0</v>
      </c>
      <c r="P316" s="22">
        <v>10</v>
      </c>
      <c r="Q316" s="22">
        <v>0</v>
      </c>
      <c r="R316" s="1" t="s">
        <v>565</v>
      </c>
      <c r="S316" s="135">
        <v>0.06</v>
      </c>
      <c r="T316" s="2" t="s">
        <v>628</v>
      </c>
      <c r="U316" s="12" t="s">
        <v>566</v>
      </c>
    </row>
    <row r="317" spans="1:30">
      <c r="A317" s="5" t="s">
        <v>676</v>
      </c>
      <c r="B317" s="9" t="s">
        <v>699</v>
      </c>
      <c r="O317" s="22">
        <v>15</v>
      </c>
      <c r="P317" s="22">
        <v>0</v>
      </c>
      <c r="Q317" s="22">
        <v>0</v>
      </c>
      <c r="R317" s="1" t="s">
        <v>565</v>
      </c>
    </row>
    <row r="318" spans="1:30">
      <c r="A318" s="5" t="s">
        <v>678</v>
      </c>
      <c r="B318" s="9" t="s">
        <v>699</v>
      </c>
      <c r="O318" s="22">
        <v>8</v>
      </c>
      <c r="P318" s="22">
        <v>8</v>
      </c>
      <c r="Q318" s="22">
        <v>0</v>
      </c>
      <c r="R318" s="1" t="s">
        <v>567</v>
      </c>
    </row>
    <row r="319" spans="1:30">
      <c r="A319" s="5" t="s">
        <v>1010</v>
      </c>
      <c r="B319" s="9" t="s">
        <v>699</v>
      </c>
      <c r="O319" s="22">
        <v>0</v>
      </c>
      <c r="P319" s="22">
        <v>10</v>
      </c>
      <c r="Q319" s="22">
        <v>0</v>
      </c>
      <c r="R319" s="1" t="s">
        <v>565</v>
      </c>
      <c r="S319" s="135">
        <v>0.1</v>
      </c>
      <c r="T319" s="2" t="s">
        <v>625</v>
      </c>
      <c r="U319" s="12" t="s">
        <v>566</v>
      </c>
    </row>
    <row r="320" spans="1:30">
      <c r="A320" s="6" t="s">
        <v>680</v>
      </c>
      <c r="B320" s="9" t="s">
        <v>699</v>
      </c>
      <c r="O320" s="22">
        <v>0</v>
      </c>
      <c r="P320" s="22">
        <v>0</v>
      </c>
      <c r="Q320" s="22">
        <v>20</v>
      </c>
      <c r="R320" s="1" t="s">
        <v>570</v>
      </c>
      <c r="S320" s="135">
        <v>0.1</v>
      </c>
      <c r="T320" s="2" t="s">
        <v>626</v>
      </c>
      <c r="U320" s="12" t="s">
        <v>571</v>
      </c>
    </row>
    <row r="321" spans="1:30">
      <c r="A321" s="6" t="s">
        <v>690</v>
      </c>
      <c r="B321" s="9" t="s">
        <v>699</v>
      </c>
      <c r="O321" s="22">
        <v>30</v>
      </c>
      <c r="P321" s="22">
        <v>0</v>
      </c>
      <c r="Q321" s="22">
        <v>0</v>
      </c>
      <c r="R321" s="1" t="s">
        <v>565</v>
      </c>
    </row>
    <row r="322" spans="1:30">
      <c r="A322" s="6" t="s">
        <v>689</v>
      </c>
      <c r="B322" s="9" t="s">
        <v>699</v>
      </c>
      <c r="O322" s="22">
        <v>0</v>
      </c>
      <c r="P322" s="22">
        <v>20</v>
      </c>
      <c r="Q322" s="22">
        <v>0</v>
      </c>
      <c r="R322" s="1" t="s">
        <v>570</v>
      </c>
      <c r="S322" s="133">
        <v>0.1</v>
      </c>
      <c r="T322" s="9" t="s">
        <v>624</v>
      </c>
      <c r="U322" s="1" t="s">
        <v>571</v>
      </c>
    </row>
    <row r="323" spans="1:30">
      <c r="A323" s="6" t="s">
        <v>1142</v>
      </c>
      <c r="B323" s="2" t="s">
        <v>699</v>
      </c>
      <c r="O323" s="22">
        <v>0</v>
      </c>
      <c r="P323" s="22">
        <v>20</v>
      </c>
      <c r="Q323" s="22">
        <v>0</v>
      </c>
      <c r="R323" s="1" t="s">
        <v>570</v>
      </c>
      <c r="S323" s="133">
        <v>0.1</v>
      </c>
      <c r="T323" s="2" t="s">
        <v>628</v>
      </c>
      <c r="U323" s="1" t="s">
        <v>571</v>
      </c>
    </row>
    <row r="324" spans="1:30">
      <c r="A324" s="6" t="s">
        <v>691</v>
      </c>
      <c r="B324" s="9" t="s">
        <v>699</v>
      </c>
      <c r="O324" s="22">
        <v>20</v>
      </c>
      <c r="P324" s="22">
        <v>0</v>
      </c>
      <c r="Q324" s="22">
        <v>0</v>
      </c>
      <c r="R324" s="1" t="s">
        <v>565</v>
      </c>
      <c r="S324" s="135">
        <v>0.1</v>
      </c>
      <c r="T324" s="2" t="s">
        <v>622</v>
      </c>
      <c r="U324" s="12" t="s">
        <v>566</v>
      </c>
    </row>
    <row r="325" spans="1:30">
      <c r="A325" s="6" t="s">
        <v>1056</v>
      </c>
      <c r="B325" s="9" t="s">
        <v>699</v>
      </c>
      <c r="O325" s="22">
        <v>30</v>
      </c>
      <c r="P325" s="22">
        <v>0</v>
      </c>
      <c r="Q325" s="22">
        <v>0</v>
      </c>
      <c r="R325" s="1" t="s">
        <v>570</v>
      </c>
    </row>
    <row r="326" spans="1:30">
      <c r="A326" s="6" t="s">
        <v>692</v>
      </c>
      <c r="B326" s="9" t="s">
        <v>699</v>
      </c>
      <c r="O326" s="22">
        <v>0</v>
      </c>
      <c r="P326" s="22">
        <v>0</v>
      </c>
      <c r="Q326" s="22">
        <v>20</v>
      </c>
      <c r="R326" s="1" t="s">
        <v>570</v>
      </c>
      <c r="S326" s="135">
        <v>0.1</v>
      </c>
      <c r="T326" s="2" t="s">
        <v>627</v>
      </c>
      <c r="U326" s="12" t="s">
        <v>571</v>
      </c>
    </row>
    <row r="327" spans="1:30">
      <c r="A327" s="6" t="s">
        <v>693</v>
      </c>
      <c r="B327" s="9" t="s">
        <v>699</v>
      </c>
      <c r="O327" s="22">
        <v>0</v>
      </c>
      <c r="P327" s="22">
        <v>0</v>
      </c>
      <c r="Q327" s="22">
        <v>20</v>
      </c>
      <c r="R327" s="1" t="s">
        <v>570</v>
      </c>
      <c r="S327" s="135">
        <v>0.1</v>
      </c>
      <c r="T327" s="2" t="s">
        <v>629</v>
      </c>
      <c r="U327" s="12" t="s">
        <v>571</v>
      </c>
    </row>
    <row r="328" spans="1:30">
      <c r="A328" s="6" t="s">
        <v>694</v>
      </c>
      <c r="B328" s="9" t="s">
        <v>699</v>
      </c>
      <c r="O328" s="22">
        <v>20</v>
      </c>
      <c r="P328" s="22">
        <v>0</v>
      </c>
      <c r="Q328" s="22">
        <v>0</v>
      </c>
      <c r="R328" s="1" t="s">
        <v>565</v>
      </c>
      <c r="S328" s="135">
        <v>0.1</v>
      </c>
      <c r="T328" s="2" t="s">
        <v>623</v>
      </c>
      <c r="U328" s="12" t="s">
        <v>566</v>
      </c>
    </row>
    <row r="329" spans="1:30">
      <c r="A329" s="6" t="s">
        <v>1144</v>
      </c>
      <c r="B329" s="2" t="s">
        <v>699</v>
      </c>
      <c r="O329" s="22">
        <v>0</v>
      </c>
      <c r="P329" s="22">
        <v>18</v>
      </c>
      <c r="Q329" s="22">
        <v>18</v>
      </c>
      <c r="R329" s="1" t="s">
        <v>567</v>
      </c>
      <c r="S329" s="135"/>
      <c r="T329" s="2"/>
      <c r="U329" s="12"/>
    </row>
    <row r="330" spans="1:30" s="20" customFormat="1">
      <c r="A330" s="28" t="s">
        <v>695</v>
      </c>
      <c r="B330" s="20" t="s">
        <v>699</v>
      </c>
      <c r="F330" s="26"/>
      <c r="N330" s="26"/>
      <c r="O330" s="33">
        <v>12</v>
      </c>
      <c r="P330" s="33">
        <v>12</v>
      </c>
      <c r="Q330" s="33">
        <v>12</v>
      </c>
      <c r="R330" s="26" t="s">
        <v>567</v>
      </c>
      <c r="S330" s="134"/>
      <c r="U330" s="26"/>
      <c r="V330" s="134"/>
      <c r="X330" s="26"/>
      <c r="Z330" s="33"/>
      <c r="AA330" s="33"/>
      <c r="AB330" s="33"/>
      <c r="AC330" s="112"/>
      <c r="AD330" s="33"/>
    </row>
    <row r="332" spans="1:30" s="20" customFormat="1">
      <c r="A332" s="32"/>
      <c r="F332" s="26"/>
      <c r="N332" s="26"/>
      <c r="O332" s="33"/>
      <c r="P332" s="33"/>
      <c r="Q332" s="33"/>
      <c r="R332" s="26"/>
      <c r="S332" s="134"/>
      <c r="U332" s="26"/>
      <c r="V332" s="134"/>
      <c r="X332" s="26"/>
      <c r="Z332" s="33"/>
      <c r="AA332" s="33"/>
      <c r="AB332" s="33"/>
      <c r="AC332" s="112"/>
      <c r="AD332" s="33"/>
    </row>
    <row r="333" spans="1:30">
      <c r="A333" s="3" t="s">
        <v>1145</v>
      </c>
      <c r="O333" s="22">
        <v>0</v>
      </c>
      <c r="P333" s="22">
        <v>0</v>
      </c>
      <c r="Q333" s="22">
        <v>0</v>
      </c>
      <c r="R333" s="1" t="s">
        <v>565</v>
      </c>
      <c r="V333" s="133"/>
    </row>
    <row r="334" spans="1:30">
      <c r="A334" s="3" t="s">
        <v>594</v>
      </c>
      <c r="O334" s="22">
        <v>0</v>
      </c>
      <c r="P334" s="22">
        <v>2</v>
      </c>
      <c r="Q334" s="22">
        <v>0</v>
      </c>
      <c r="R334" s="1" t="s">
        <v>565</v>
      </c>
    </row>
    <row r="335" spans="1:30">
      <c r="A335" s="3" t="s">
        <v>596</v>
      </c>
      <c r="O335" s="22">
        <v>0</v>
      </c>
      <c r="P335" s="22">
        <v>0</v>
      </c>
      <c r="Q335" s="22">
        <v>3</v>
      </c>
      <c r="R335" s="1" t="s">
        <v>565</v>
      </c>
    </row>
    <row r="336" spans="1:30">
      <c r="A336" s="5" t="s">
        <v>849</v>
      </c>
      <c r="O336" s="22">
        <v>0</v>
      </c>
      <c r="P336" s="22">
        <v>10</v>
      </c>
      <c r="Q336" s="22">
        <v>0</v>
      </c>
      <c r="R336" s="1" t="s">
        <v>565</v>
      </c>
      <c r="S336" s="133">
        <v>0.06</v>
      </c>
      <c r="T336" s="9" t="s">
        <v>628</v>
      </c>
      <c r="U336" s="1" t="s">
        <v>566</v>
      </c>
    </row>
    <row r="337" spans="1:24">
      <c r="A337" s="5" t="s">
        <v>1116</v>
      </c>
      <c r="O337" s="22">
        <v>0</v>
      </c>
      <c r="P337" s="22">
        <v>15</v>
      </c>
      <c r="Q337" s="22">
        <v>0</v>
      </c>
      <c r="R337" s="1" t="s">
        <v>565</v>
      </c>
    </row>
    <row r="338" spans="1:24">
      <c r="A338" s="4" t="s">
        <v>838</v>
      </c>
      <c r="O338" s="22">
        <v>0</v>
      </c>
      <c r="P338" s="22">
        <v>6</v>
      </c>
      <c r="Q338" s="22">
        <v>0</v>
      </c>
      <c r="R338" s="1" t="s">
        <v>565</v>
      </c>
    </row>
    <row r="339" spans="1:24">
      <c r="A339" s="3" t="s">
        <v>597</v>
      </c>
      <c r="O339" s="22">
        <v>0</v>
      </c>
      <c r="P339" s="22">
        <v>3</v>
      </c>
      <c r="Q339" s="22">
        <v>0</v>
      </c>
      <c r="R339" s="1" t="s">
        <v>565</v>
      </c>
    </row>
    <row r="340" spans="1:24">
      <c r="A340" s="5" t="s">
        <v>817</v>
      </c>
      <c r="O340" s="22">
        <v>15</v>
      </c>
      <c r="P340" s="22">
        <v>0</v>
      </c>
      <c r="Q340" s="22">
        <v>0</v>
      </c>
      <c r="R340" s="1" t="s">
        <v>565</v>
      </c>
    </row>
    <row r="341" spans="1:24">
      <c r="A341" s="5" t="s">
        <v>857</v>
      </c>
      <c r="O341" s="22">
        <v>0</v>
      </c>
      <c r="P341" s="22">
        <v>10</v>
      </c>
      <c r="Q341" s="22">
        <v>0</v>
      </c>
      <c r="R341" s="1" t="s">
        <v>565</v>
      </c>
      <c r="S341" s="133">
        <v>0.06</v>
      </c>
      <c r="T341" s="9" t="s">
        <v>624</v>
      </c>
      <c r="U341" s="1" t="s">
        <v>566</v>
      </c>
    </row>
    <row r="342" spans="1:24">
      <c r="A342" s="4" t="s">
        <v>852</v>
      </c>
      <c r="O342" s="22">
        <v>6</v>
      </c>
      <c r="P342" s="22">
        <v>0</v>
      </c>
      <c r="Q342" s="22">
        <v>0</v>
      </c>
      <c r="R342" s="1" t="s">
        <v>565</v>
      </c>
    </row>
    <row r="343" spans="1:24">
      <c r="A343" s="4" t="s">
        <v>1109</v>
      </c>
      <c r="O343" s="22">
        <v>6</v>
      </c>
      <c r="P343" s="22">
        <v>0</v>
      </c>
      <c r="Q343" s="22">
        <v>0</v>
      </c>
      <c r="R343" s="1" t="s">
        <v>565</v>
      </c>
    </row>
    <row r="344" spans="1:24">
      <c r="A344" s="4" t="s">
        <v>1110</v>
      </c>
      <c r="O344" s="22">
        <v>0</v>
      </c>
      <c r="P344" s="22">
        <v>6</v>
      </c>
      <c r="Q344" s="22">
        <v>0</v>
      </c>
      <c r="R344" s="1" t="s">
        <v>565</v>
      </c>
    </row>
    <row r="345" spans="1:24">
      <c r="A345" s="4" t="s">
        <v>837</v>
      </c>
      <c r="O345" s="22">
        <v>6</v>
      </c>
      <c r="P345" s="22">
        <v>0</v>
      </c>
      <c r="Q345" s="22">
        <v>0</v>
      </c>
      <c r="R345" s="1" t="s">
        <v>565</v>
      </c>
    </row>
    <row r="346" spans="1:24">
      <c r="A346" s="4" t="s">
        <v>599</v>
      </c>
      <c r="O346" s="22">
        <v>0</v>
      </c>
      <c r="P346" s="22">
        <v>0</v>
      </c>
      <c r="Q346" s="22">
        <v>6</v>
      </c>
      <c r="R346" s="1" t="s">
        <v>565</v>
      </c>
    </row>
    <row r="347" spans="1:24">
      <c r="A347" s="5" t="s">
        <v>1011</v>
      </c>
      <c r="O347" s="22">
        <v>8</v>
      </c>
      <c r="P347" s="22">
        <v>8</v>
      </c>
      <c r="Q347" s="22">
        <v>0</v>
      </c>
      <c r="R347" s="1" t="s">
        <v>565</v>
      </c>
      <c r="S347" s="133">
        <v>0.08</v>
      </c>
      <c r="T347" s="9" t="s">
        <v>622</v>
      </c>
      <c r="U347" s="1" t="s">
        <v>566</v>
      </c>
    </row>
    <row r="348" spans="1:24">
      <c r="A348" s="5" t="s">
        <v>839</v>
      </c>
      <c r="O348" s="22">
        <v>0</v>
      </c>
      <c r="P348" s="22">
        <v>15</v>
      </c>
      <c r="Q348" s="22">
        <v>0</v>
      </c>
      <c r="R348" s="1" t="s">
        <v>565</v>
      </c>
    </row>
    <row r="349" spans="1:24">
      <c r="A349" s="5" t="s">
        <v>861</v>
      </c>
      <c r="O349" s="22">
        <v>0</v>
      </c>
      <c r="P349" s="22">
        <v>11</v>
      </c>
      <c r="Q349" s="22">
        <v>12</v>
      </c>
      <c r="R349" s="1" t="s">
        <v>565</v>
      </c>
      <c r="S349" s="133">
        <v>0.06</v>
      </c>
      <c r="T349" s="9" t="s">
        <v>626</v>
      </c>
      <c r="U349" s="1" t="s">
        <v>566</v>
      </c>
    </row>
    <row r="350" spans="1:24">
      <c r="A350" s="5" t="s">
        <v>844</v>
      </c>
      <c r="O350" s="22">
        <v>8</v>
      </c>
      <c r="P350" s="22">
        <v>8</v>
      </c>
      <c r="Q350" s="22">
        <v>0</v>
      </c>
      <c r="R350" s="1" t="s">
        <v>565</v>
      </c>
      <c r="S350" s="133">
        <v>0.02</v>
      </c>
      <c r="T350" s="2" t="s">
        <v>621</v>
      </c>
      <c r="U350" s="1" t="s">
        <v>572</v>
      </c>
      <c r="V350" s="109">
        <v>0.02</v>
      </c>
      <c r="W350" s="2" t="s">
        <v>624</v>
      </c>
      <c r="X350" s="1" t="s">
        <v>572</v>
      </c>
    </row>
    <row r="351" spans="1:24">
      <c r="A351" s="5" t="s">
        <v>845</v>
      </c>
      <c r="O351" s="22">
        <v>0</v>
      </c>
      <c r="P351" s="22">
        <v>8</v>
      </c>
      <c r="Q351" s="22">
        <v>8</v>
      </c>
      <c r="R351" s="1" t="s">
        <v>565</v>
      </c>
      <c r="S351" s="133">
        <v>0.02</v>
      </c>
      <c r="T351" s="2" t="s">
        <v>629</v>
      </c>
      <c r="U351" s="1" t="s">
        <v>572</v>
      </c>
      <c r="V351" s="109">
        <v>0.02</v>
      </c>
      <c r="W351" s="2" t="s">
        <v>625</v>
      </c>
      <c r="X351" s="1" t="s">
        <v>572</v>
      </c>
    </row>
    <row r="352" spans="1:24">
      <c r="A352" s="5" t="s">
        <v>843</v>
      </c>
      <c r="O352" s="22">
        <v>8</v>
      </c>
      <c r="P352" s="22">
        <v>0</v>
      </c>
      <c r="Q352" s="22">
        <v>8</v>
      </c>
      <c r="R352" s="1" t="s">
        <v>565</v>
      </c>
      <c r="S352" s="133">
        <v>0.02</v>
      </c>
      <c r="T352" s="2" t="s">
        <v>626</v>
      </c>
      <c r="U352" s="1" t="s">
        <v>572</v>
      </c>
    </row>
    <row r="353" spans="1:24">
      <c r="A353" s="5" t="s">
        <v>850</v>
      </c>
      <c r="O353" s="22">
        <v>9</v>
      </c>
      <c r="P353" s="22">
        <v>0</v>
      </c>
      <c r="Q353" s="22">
        <v>9</v>
      </c>
      <c r="R353" s="1" t="s">
        <v>565</v>
      </c>
      <c r="T353" s="2"/>
    </row>
    <row r="354" spans="1:24">
      <c r="A354" s="5" t="s">
        <v>1015</v>
      </c>
      <c r="O354" s="22">
        <v>0</v>
      </c>
      <c r="P354" s="22">
        <v>0</v>
      </c>
      <c r="Q354" s="22">
        <v>10</v>
      </c>
      <c r="R354" s="1" t="s">
        <v>565</v>
      </c>
      <c r="S354" s="133">
        <v>0.03</v>
      </c>
      <c r="T354" s="2" t="s">
        <v>563</v>
      </c>
      <c r="U354" s="1" t="s">
        <v>571</v>
      </c>
    </row>
    <row r="355" spans="1:24">
      <c r="A355" s="5" t="s">
        <v>704</v>
      </c>
      <c r="O355" s="22">
        <v>0</v>
      </c>
      <c r="P355" s="22">
        <v>0</v>
      </c>
      <c r="Q355" s="22">
        <v>15</v>
      </c>
      <c r="R355" s="1" t="s">
        <v>565</v>
      </c>
    </row>
    <row r="356" spans="1:24">
      <c r="A356" s="5" t="s">
        <v>771</v>
      </c>
      <c r="O356" s="22">
        <v>13</v>
      </c>
      <c r="P356" s="22">
        <v>13</v>
      </c>
      <c r="Q356" s="22">
        <v>0</v>
      </c>
      <c r="R356" s="1" t="s">
        <v>565</v>
      </c>
    </row>
    <row r="357" spans="1:24">
      <c r="A357" s="5" t="s">
        <v>961</v>
      </c>
      <c r="O357" s="22">
        <v>15</v>
      </c>
      <c r="P357" s="22">
        <v>0</v>
      </c>
      <c r="Q357" s="22">
        <v>0</v>
      </c>
      <c r="R357" s="1" t="s">
        <v>565</v>
      </c>
    </row>
    <row r="358" spans="1:24">
      <c r="A358" s="5" t="s">
        <v>841</v>
      </c>
      <c r="O358" s="22">
        <v>13</v>
      </c>
      <c r="P358" s="22">
        <v>0</v>
      </c>
      <c r="Q358" s="22">
        <v>13</v>
      </c>
      <c r="R358" s="1" t="s">
        <v>565</v>
      </c>
    </row>
    <row r="359" spans="1:24">
      <c r="A359" s="5" t="s">
        <v>1106</v>
      </c>
      <c r="O359" s="22">
        <v>5</v>
      </c>
      <c r="P359" s="22">
        <v>10</v>
      </c>
      <c r="Q359" s="22">
        <v>0</v>
      </c>
      <c r="R359" s="1" t="s">
        <v>565</v>
      </c>
      <c r="S359" s="133">
        <v>0.01</v>
      </c>
      <c r="T359" s="9" t="s">
        <v>1094</v>
      </c>
      <c r="U359" s="1" t="s">
        <v>561</v>
      </c>
      <c r="V359" s="109">
        <v>0.02</v>
      </c>
      <c r="W359" s="2" t="s">
        <v>1094</v>
      </c>
      <c r="X359" s="1" t="s">
        <v>562</v>
      </c>
    </row>
    <row r="360" spans="1:24">
      <c r="A360" s="5" t="s">
        <v>700</v>
      </c>
      <c r="O360" s="22">
        <v>0</v>
      </c>
      <c r="P360" s="22">
        <v>15</v>
      </c>
      <c r="Q360" s="22">
        <v>0</v>
      </c>
      <c r="R360" s="1" t="s">
        <v>565</v>
      </c>
    </row>
    <row r="361" spans="1:24">
      <c r="A361" s="4" t="s">
        <v>600</v>
      </c>
      <c r="O361" s="22">
        <v>0</v>
      </c>
      <c r="P361" s="22">
        <v>6</v>
      </c>
      <c r="Q361" s="22">
        <v>0</v>
      </c>
      <c r="R361" s="1" t="s">
        <v>565</v>
      </c>
    </row>
    <row r="362" spans="1:24">
      <c r="A362" s="6" t="s">
        <v>1119</v>
      </c>
      <c r="O362" s="22">
        <v>0</v>
      </c>
      <c r="P362" s="22">
        <v>0</v>
      </c>
      <c r="Q362" s="22">
        <v>20</v>
      </c>
      <c r="R362" s="1" t="s">
        <v>565</v>
      </c>
      <c r="S362" s="133" t="s">
        <v>923</v>
      </c>
      <c r="T362" s="9" t="s">
        <v>923</v>
      </c>
      <c r="U362" s="1" t="s">
        <v>923</v>
      </c>
    </row>
    <row r="363" spans="1:24">
      <c r="A363" s="6" t="s">
        <v>1193</v>
      </c>
      <c r="O363" s="22">
        <v>0</v>
      </c>
      <c r="P363" s="22">
        <v>0</v>
      </c>
      <c r="Q363" s="22">
        <v>25</v>
      </c>
      <c r="R363" s="1" t="s">
        <v>565</v>
      </c>
      <c r="S363" s="133">
        <v>0.1</v>
      </c>
      <c r="T363" s="9" t="s">
        <v>629</v>
      </c>
      <c r="U363" s="1" t="s">
        <v>572</v>
      </c>
    </row>
    <row r="364" spans="1:24">
      <c r="A364" s="6" t="s">
        <v>705</v>
      </c>
      <c r="O364" s="22">
        <v>0</v>
      </c>
      <c r="P364" s="22">
        <v>20</v>
      </c>
      <c r="Q364" s="22">
        <v>0</v>
      </c>
      <c r="R364" s="1" t="s">
        <v>565</v>
      </c>
      <c r="S364" s="133">
        <v>7.0000000000000007E-2</v>
      </c>
      <c r="T364" s="9" t="s">
        <v>625</v>
      </c>
      <c r="U364" s="1" t="s">
        <v>566</v>
      </c>
      <c r="V364" s="109">
        <v>7.0000000000000007E-2</v>
      </c>
      <c r="W364" s="2" t="s">
        <v>628</v>
      </c>
      <c r="X364" s="1" t="s">
        <v>566</v>
      </c>
    </row>
    <row r="365" spans="1:24">
      <c r="A365" s="6" t="s">
        <v>1051</v>
      </c>
      <c r="O365" s="22">
        <v>17</v>
      </c>
      <c r="P365" s="22">
        <v>17</v>
      </c>
      <c r="Q365" s="22">
        <v>17</v>
      </c>
      <c r="R365" s="1" t="s">
        <v>565</v>
      </c>
    </row>
    <row r="366" spans="1:24">
      <c r="A366" s="6" t="s">
        <v>1052</v>
      </c>
      <c r="O366" s="22">
        <v>0</v>
      </c>
      <c r="P366" s="22">
        <v>0</v>
      </c>
      <c r="Q366" s="22">
        <v>20</v>
      </c>
      <c r="R366" s="1" t="s">
        <v>565</v>
      </c>
      <c r="S366" s="133">
        <v>0.02</v>
      </c>
      <c r="T366" s="9" t="s">
        <v>1108</v>
      </c>
      <c r="U366" s="1" t="s">
        <v>1107</v>
      </c>
    </row>
    <row r="367" spans="1:24">
      <c r="A367" s="6" t="s">
        <v>1053</v>
      </c>
      <c r="O367" s="22">
        <v>0</v>
      </c>
      <c r="P367" s="22">
        <v>20</v>
      </c>
      <c r="Q367" s="22">
        <v>0</v>
      </c>
      <c r="R367" s="1" t="s">
        <v>565</v>
      </c>
      <c r="S367" s="133">
        <v>7.0000000000000007E-2</v>
      </c>
      <c r="T367" s="9" t="s">
        <v>624</v>
      </c>
      <c r="U367" s="1" t="s">
        <v>566</v>
      </c>
      <c r="V367" s="109">
        <v>7.0000000000000007E-2</v>
      </c>
      <c r="W367" s="2" t="s">
        <v>625</v>
      </c>
      <c r="X367" s="1" t="s">
        <v>566</v>
      </c>
    </row>
    <row r="368" spans="1:24">
      <c r="A368" s="6" t="s">
        <v>842</v>
      </c>
      <c r="O368" s="22">
        <v>20</v>
      </c>
      <c r="P368" s="22">
        <v>20</v>
      </c>
      <c r="Q368" s="22">
        <v>20</v>
      </c>
      <c r="R368" s="1" t="s">
        <v>565</v>
      </c>
      <c r="S368" s="133">
        <v>0.05</v>
      </c>
      <c r="T368" s="9" t="s">
        <v>1024</v>
      </c>
      <c r="U368" s="1" t="s">
        <v>566</v>
      </c>
    </row>
    <row r="369" spans="1:30">
      <c r="A369" s="6" t="s">
        <v>813</v>
      </c>
      <c r="O369" s="22">
        <v>20</v>
      </c>
      <c r="P369" s="22">
        <v>20</v>
      </c>
      <c r="Q369" s="22">
        <v>20</v>
      </c>
      <c r="R369" s="1" t="s">
        <v>565</v>
      </c>
      <c r="S369" s="133">
        <v>0.05</v>
      </c>
      <c r="T369" s="2" t="s">
        <v>1093</v>
      </c>
      <c r="U369" s="1" t="s">
        <v>1024</v>
      </c>
    </row>
    <row r="370" spans="1:30">
      <c r="A370" s="6" t="s">
        <v>1103</v>
      </c>
      <c r="O370" s="22">
        <v>0</v>
      </c>
      <c r="P370" s="22">
        <v>0</v>
      </c>
      <c r="Q370" s="22">
        <v>20</v>
      </c>
      <c r="R370" s="1" t="s">
        <v>565</v>
      </c>
      <c r="S370" s="133">
        <v>0.1</v>
      </c>
      <c r="T370" s="2" t="s">
        <v>629</v>
      </c>
      <c r="U370" s="1" t="s">
        <v>566</v>
      </c>
    </row>
    <row r="371" spans="1:30">
      <c r="A371" s="6" t="s">
        <v>1060</v>
      </c>
      <c r="O371" s="22">
        <v>0</v>
      </c>
      <c r="P371" s="22">
        <v>15</v>
      </c>
      <c r="Q371" s="22">
        <v>15</v>
      </c>
      <c r="R371" s="1" t="s">
        <v>565</v>
      </c>
    </row>
    <row r="372" spans="1:30">
      <c r="A372" s="10" t="s">
        <v>1079</v>
      </c>
      <c r="O372" s="22">
        <v>25</v>
      </c>
      <c r="P372" s="22">
        <v>25</v>
      </c>
      <c r="Q372" s="22">
        <v>25</v>
      </c>
      <c r="R372" s="1" t="s">
        <v>565</v>
      </c>
      <c r="S372" s="133">
        <v>7.0000000000000007E-2</v>
      </c>
      <c r="T372" s="2" t="s">
        <v>1024</v>
      </c>
      <c r="U372" s="1" t="s">
        <v>572</v>
      </c>
    </row>
    <row r="373" spans="1:30">
      <c r="A373" s="10" t="s">
        <v>1080</v>
      </c>
      <c r="O373" s="22">
        <v>44</v>
      </c>
      <c r="P373" s="22">
        <v>0</v>
      </c>
      <c r="Q373" s="22">
        <v>0</v>
      </c>
      <c r="R373" s="1" t="s">
        <v>565</v>
      </c>
      <c r="S373" s="133">
        <v>0.15</v>
      </c>
      <c r="T373" s="9" t="s">
        <v>623</v>
      </c>
      <c r="U373" s="1" t="s">
        <v>572</v>
      </c>
    </row>
    <row r="374" spans="1:30">
      <c r="A374" s="10" t="s">
        <v>1186</v>
      </c>
      <c r="O374" s="22">
        <v>28</v>
      </c>
      <c r="P374" s="22">
        <v>28</v>
      </c>
      <c r="Q374" s="22">
        <v>28</v>
      </c>
      <c r="R374" s="1" t="s">
        <v>565</v>
      </c>
      <c r="S374" s="133">
        <v>0.05</v>
      </c>
      <c r="T374" s="9" t="s">
        <v>1094</v>
      </c>
      <c r="U374" s="1" t="s">
        <v>1024</v>
      </c>
    </row>
    <row r="375" spans="1:30">
      <c r="A375" s="10" t="s">
        <v>1187</v>
      </c>
      <c r="O375" s="22">
        <v>35</v>
      </c>
      <c r="P375" s="22">
        <v>0</v>
      </c>
      <c r="Q375" s="22">
        <v>35</v>
      </c>
      <c r="R375" s="1" t="s">
        <v>565</v>
      </c>
      <c r="S375" s="133">
        <v>0.08</v>
      </c>
      <c r="T375" s="9" t="s">
        <v>1188</v>
      </c>
      <c r="U375" s="1" t="s">
        <v>1189</v>
      </c>
    </row>
    <row r="376" spans="1:30">
      <c r="A376" s="10" t="s">
        <v>1190</v>
      </c>
      <c r="O376" s="22">
        <v>30</v>
      </c>
      <c r="P376" s="22">
        <v>30</v>
      </c>
      <c r="Q376" s="22">
        <v>0</v>
      </c>
      <c r="R376" s="1" t="s">
        <v>565</v>
      </c>
      <c r="S376" s="133">
        <v>7.0000000000000007E-2</v>
      </c>
      <c r="T376" s="9" t="s">
        <v>1018</v>
      </c>
      <c r="U376" s="1" t="s">
        <v>847</v>
      </c>
    </row>
    <row r="377" spans="1:30">
      <c r="A377" s="10" t="s">
        <v>1191</v>
      </c>
      <c r="O377" s="22">
        <v>31</v>
      </c>
      <c r="P377" s="22">
        <v>30</v>
      </c>
      <c r="Q377" s="22">
        <v>0</v>
      </c>
      <c r="R377" s="1" t="s">
        <v>565</v>
      </c>
      <c r="S377" s="133">
        <v>0.02</v>
      </c>
      <c r="T377" s="9" t="s">
        <v>561</v>
      </c>
      <c r="U377" s="1" t="s">
        <v>571</v>
      </c>
      <c r="V377" s="109">
        <v>0.04</v>
      </c>
      <c r="W377" s="9" t="s">
        <v>561</v>
      </c>
      <c r="X377" s="1" t="s">
        <v>566</v>
      </c>
    </row>
    <row r="378" spans="1:30">
      <c r="A378" s="15" t="s">
        <v>1214</v>
      </c>
      <c r="O378" s="308">
        <v>3</v>
      </c>
      <c r="P378" s="308">
        <v>0</v>
      </c>
      <c r="Q378" s="308">
        <v>0</v>
      </c>
      <c r="R378" s="1" t="s">
        <v>565</v>
      </c>
      <c r="Z378" s="308"/>
      <c r="AA378" s="308"/>
      <c r="AB378" s="308"/>
      <c r="AD378" s="308"/>
    </row>
    <row r="379" spans="1:30" s="20" customFormat="1">
      <c r="A379" s="64" t="s">
        <v>617</v>
      </c>
      <c r="F379" s="26"/>
      <c r="N379" s="26"/>
      <c r="O379" s="33">
        <v>0</v>
      </c>
      <c r="P379" s="33">
        <v>0</v>
      </c>
      <c r="Q379" s="33">
        <v>3</v>
      </c>
      <c r="R379" s="26" t="s">
        <v>565</v>
      </c>
      <c r="S379" s="134"/>
      <c r="U379" s="26"/>
      <c r="V379" s="134"/>
      <c r="X379" s="26"/>
      <c r="Z379" s="33"/>
      <c r="AA379" s="33"/>
      <c r="AB379" s="33"/>
      <c r="AC379" s="112"/>
      <c r="AD379" s="33"/>
    </row>
    <row r="380" spans="1:30" s="29" customFormat="1">
      <c r="A380" s="65"/>
      <c r="F380" s="30"/>
      <c r="N380" s="30"/>
      <c r="O380" s="63"/>
      <c r="P380" s="63"/>
      <c r="Q380" s="63"/>
      <c r="R380" s="30"/>
      <c r="S380" s="138"/>
      <c r="U380" s="30"/>
      <c r="V380" s="138"/>
      <c r="X380" s="30"/>
      <c r="Z380" s="63"/>
      <c r="AA380" s="63"/>
      <c r="AB380" s="63"/>
      <c r="AC380" s="149"/>
      <c r="AD380" s="63"/>
    </row>
    <row r="381" spans="1:30">
      <c r="A381" s="3" t="s">
        <v>603</v>
      </c>
      <c r="O381" s="22">
        <v>2</v>
      </c>
      <c r="P381" s="22">
        <v>0</v>
      </c>
      <c r="Q381" s="22">
        <v>0</v>
      </c>
      <c r="R381" s="1" t="s">
        <v>570</v>
      </c>
    </row>
    <row r="382" spans="1:30">
      <c r="A382" s="3" t="s">
        <v>604</v>
      </c>
      <c r="O382" s="22">
        <v>0</v>
      </c>
      <c r="P382" s="22">
        <v>0</v>
      </c>
      <c r="Q382" s="22">
        <v>3</v>
      </c>
      <c r="R382" s="1" t="s">
        <v>570</v>
      </c>
    </row>
    <row r="383" spans="1:30">
      <c r="A383" s="5" t="s">
        <v>840</v>
      </c>
      <c r="O383" s="22">
        <v>0</v>
      </c>
      <c r="P383" s="22">
        <v>15</v>
      </c>
      <c r="Q383" s="22">
        <v>0</v>
      </c>
      <c r="R383" s="1" t="s">
        <v>570</v>
      </c>
    </row>
    <row r="384" spans="1:30">
      <c r="A384" s="5" t="s">
        <v>1113</v>
      </c>
      <c r="O384" s="22">
        <v>0</v>
      </c>
      <c r="P384" s="22">
        <v>10</v>
      </c>
      <c r="Q384" s="22">
        <v>0</v>
      </c>
      <c r="R384" s="1" t="s">
        <v>570</v>
      </c>
      <c r="S384" s="133">
        <v>0.06</v>
      </c>
      <c r="T384" s="9" t="s">
        <v>628</v>
      </c>
      <c r="U384" s="1" t="s">
        <v>571</v>
      </c>
    </row>
    <row r="385" spans="1:24">
      <c r="A385" s="5" t="s">
        <v>1058</v>
      </c>
      <c r="O385" s="22">
        <v>0</v>
      </c>
      <c r="P385" s="22">
        <v>15</v>
      </c>
      <c r="Q385" s="22">
        <v>0</v>
      </c>
      <c r="R385" s="1" t="s">
        <v>570</v>
      </c>
    </row>
    <row r="386" spans="1:24">
      <c r="A386" s="5" t="s">
        <v>1029</v>
      </c>
      <c r="O386" s="22">
        <v>8</v>
      </c>
      <c r="P386" s="22">
        <v>8</v>
      </c>
      <c r="Q386" s="22">
        <v>0</v>
      </c>
      <c r="R386" s="1" t="s">
        <v>570</v>
      </c>
      <c r="S386" s="133">
        <v>0.02</v>
      </c>
      <c r="T386" s="9" t="s">
        <v>623</v>
      </c>
      <c r="U386" s="1" t="s">
        <v>572</v>
      </c>
      <c r="V386" s="109">
        <v>0.02</v>
      </c>
      <c r="W386" s="2" t="s">
        <v>628</v>
      </c>
      <c r="X386" s="1" t="s">
        <v>572</v>
      </c>
    </row>
    <row r="387" spans="1:24">
      <c r="A387" s="4" t="s">
        <v>834</v>
      </c>
      <c r="O387" s="22">
        <v>0</v>
      </c>
      <c r="P387" s="22">
        <v>3</v>
      </c>
      <c r="Q387" s="22">
        <v>0</v>
      </c>
      <c r="R387" s="1" t="s">
        <v>570</v>
      </c>
      <c r="W387" s="2"/>
    </row>
    <row r="388" spans="1:24">
      <c r="A388" s="5" t="s">
        <v>770</v>
      </c>
      <c r="O388" s="22">
        <v>0</v>
      </c>
      <c r="P388" s="22">
        <v>13</v>
      </c>
      <c r="Q388" s="22">
        <v>13</v>
      </c>
      <c r="R388" s="1" t="s">
        <v>570</v>
      </c>
      <c r="W388" s="2"/>
    </row>
    <row r="389" spans="1:24">
      <c r="A389" s="5" t="s">
        <v>812</v>
      </c>
      <c r="O389" s="22">
        <v>13</v>
      </c>
      <c r="P389" s="22">
        <v>13</v>
      </c>
      <c r="Q389" s="22">
        <v>0</v>
      </c>
      <c r="R389" s="1" t="s">
        <v>570</v>
      </c>
      <c r="W389" s="2"/>
    </row>
    <row r="390" spans="1:24">
      <c r="A390" s="5" t="s">
        <v>605</v>
      </c>
      <c r="O390" s="22">
        <v>0</v>
      </c>
      <c r="P390" s="22">
        <v>13</v>
      </c>
      <c r="Q390" s="22">
        <v>13</v>
      </c>
      <c r="R390" s="1" t="s">
        <v>570</v>
      </c>
    </row>
    <row r="391" spans="1:24">
      <c r="A391" s="4" t="s">
        <v>1114</v>
      </c>
      <c r="O391" s="22">
        <v>3</v>
      </c>
      <c r="P391" s="22">
        <v>0</v>
      </c>
      <c r="Q391" s="22">
        <v>0</v>
      </c>
      <c r="R391" s="1" t="s">
        <v>570</v>
      </c>
    </row>
    <row r="392" spans="1:24">
      <c r="A392" s="4" t="s">
        <v>1030</v>
      </c>
      <c r="O392" s="22">
        <v>6</v>
      </c>
      <c r="P392" s="22">
        <v>0</v>
      </c>
      <c r="Q392" s="22">
        <v>0</v>
      </c>
      <c r="R392" s="1" t="s">
        <v>570</v>
      </c>
    </row>
    <row r="393" spans="1:24">
      <c r="A393" s="4" t="s">
        <v>1105</v>
      </c>
      <c r="O393" s="22">
        <v>1</v>
      </c>
      <c r="P393" s="22">
        <v>0</v>
      </c>
      <c r="Q393" s="22">
        <v>0</v>
      </c>
      <c r="R393" s="1" t="s">
        <v>570</v>
      </c>
      <c r="S393" s="133">
        <v>0.05</v>
      </c>
      <c r="T393" s="9" t="s">
        <v>623</v>
      </c>
      <c r="U393" s="1" t="s">
        <v>572</v>
      </c>
    </row>
    <row r="394" spans="1:24">
      <c r="A394" s="4" t="s">
        <v>833</v>
      </c>
      <c r="O394" s="22">
        <v>5</v>
      </c>
      <c r="P394" s="22">
        <v>0</v>
      </c>
      <c r="Q394" s="22">
        <v>0</v>
      </c>
      <c r="R394" s="1" t="s">
        <v>570</v>
      </c>
    </row>
    <row r="395" spans="1:24">
      <c r="A395" s="4" t="s">
        <v>608</v>
      </c>
      <c r="O395" s="22">
        <v>0</v>
      </c>
      <c r="P395" s="22">
        <v>0</v>
      </c>
      <c r="Q395" s="22">
        <v>6</v>
      </c>
      <c r="R395" s="1" t="s">
        <v>570</v>
      </c>
    </row>
    <row r="396" spans="1:24">
      <c r="A396" s="5" t="s">
        <v>1099</v>
      </c>
      <c r="O396" s="22">
        <v>10</v>
      </c>
      <c r="P396" s="22">
        <v>0</v>
      </c>
      <c r="Q396" s="22">
        <v>0</v>
      </c>
      <c r="R396" s="1" t="s">
        <v>570</v>
      </c>
      <c r="S396" s="133">
        <v>0.06</v>
      </c>
      <c r="T396" s="9" t="s">
        <v>621</v>
      </c>
      <c r="U396" s="1" t="s">
        <v>571</v>
      </c>
    </row>
    <row r="397" spans="1:24">
      <c r="A397" s="5" t="s">
        <v>660</v>
      </c>
      <c r="O397" s="22">
        <v>0</v>
      </c>
      <c r="P397" s="22">
        <v>0</v>
      </c>
      <c r="Q397" s="22">
        <v>10</v>
      </c>
      <c r="R397" s="1" t="s">
        <v>570</v>
      </c>
      <c r="S397" s="133">
        <v>0.06</v>
      </c>
      <c r="T397" s="9" t="s">
        <v>629</v>
      </c>
      <c r="U397" s="1" t="s">
        <v>571</v>
      </c>
    </row>
    <row r="398" spans="1:24">
      <c r="A398" s="5" t="s">
        <v>1017</v>
      </c>
      <c r="O398" s="22">
        <v>0</v>
      </c>
      <c r="P398" s="22">
        <v>0</v>
      </c>
      <c r="Q398" s="22">
        <v>15</v>
      </c>
      <c r="R398" s="1" t="s">
        <v>570</v>
      </c>
    </row>
    <row r="399" spans="1:24">
      <c r="A399" s="5" t="s">
        <v>1101</v>
      </c>
      <c r="O399" s="22">
        <v>0</v>
      </c>
      <c r="P399" s="22">
        <v>0</v>
      </c>
      <c r="Q399" s="22">
        <v>13</v>
      </c>
      <c r="R399" s="1" t="s">
        <v>570</v>
      </c>
    </row>
    <row r="400" spans="1:24">
      <c r="A400" s="5" t="s">
        <v>1032</v>
      </c>
      <c r="O400" s="22">
        <v>0</v>
      </c>
      <c r="P400" s="22">
        <v>9</v>
      </c>
      <c r="Q400" s="22">
        <v>9</v>
      </c>
      <c r="R400" s="1" t="s">
        <v>570</v>
      </c>
    </row>
    <row r="401" spans="1:24">
      <c r="A401" s="5" t="s">
        <v>1104</v>
      </c>
      <c r="O401" s="22">
        <v>8</v>
      </c>
      <c r="P401" s="22">
        <v>8</v>
      </c>
      <c r="Q401" s="22">
        <v>2</v>
      </c>
      <c r="R401" s="1" t="s">
        <v>570</v>
      </c>
      <c r="S401" s="133">
        <v>0.03</v>
      </c>
      <c r="T401" s="9" t="s">
        <v>621</v>
      </c>
      <c r="U401" s="1" t="s">
        <v>571</v>
      </c>
      <c r="V401" s="109">
        <v>0.03</v>
      </c>
      <c r="W401" s="2" t="s">
        <v>625</v>
      </c>
      <c r="X401" s="1" t="s">
        <v>571</v>
      </c>
    </row>
    <row r="402" spans="1:24">
      <c r="A402" s="5" t="s">
        <v>798</v>
      </c>
      <c r="O402" s="22">
        <v>0</v>
      </c>
      <c r="P402" s="22">
        <v>0</v>
      </c>
      <c r="Q402" s="22">
        <v>15</v>
      </c>
      <c r="R402" s="1" t="s">
        <v>570</v>
      </c>
    </row>
    <row r="403" spans="1:24">
      <c r="A403" s="5" t="s">
        <v>1034</v>
      </c>
      <c r="O403" s="22">
        <v>15</v>
      </c>
      <c r="P403" s="22">
        <v>0</v>
      </c>
      <c r="Q403" s="22">
        <v>0</v>
      </c>
      <c r="R403" s="1" t="s">
        <v>570</v>
      </c>
    </row>
    <row r="404" spans="1:24">
      <c r="A404" s="5" t="s">
        <v>609</v>
      </c>
      <c r="O404" s="22">
        <v>13</v>
      </c>
      <c r="P404" s="22">
        <v>0</v>
      </c>
      <c r="Q404" s="22">
        <v>13</v>
      </c>
      <c r="R404" s="1" t="s">
        <v>570</v>
      </c>
    </row>
    <row r="405" spans="1:24">
      <c r="A405" s="4" t="s">
        <v>610</v>
      </c>
      <c r="O405" s="22">
        <v>0</v>
      </c>
      <c r="P405" s="22">
        <v>6</v>
      </c>
      <c r="Q405" s="22">
        <v>0</v>
      </c>
      <c r="R405" s="1" t="s">
        <v>570</v>
      </c>
    </row>
    <row r="406" spans="1:24">
      <c r="A406" s="4" t="s">
        <v>1031</v>
      </c>
      <c r="O406" s="22">
        <v>0</v>
      </c>
      <c r="P406" s="22">
        <v>6</v>
      </c>
      <c r="Q406" s="22">
        <v>0</v>
      </c>
      <c r="R406" s="1" t="s">
        <v>570</v>
      </c>
    </row>
    <row r="407" spans="1:24">
      <c r="A407" s="4" t="s">
        <v>611</v>
      </c>
      <c r="O407" s="22">
        <v>0</v>
      </c>
      <c r="P407" s="22">
        <v>6</v>
      </c>
      <c r="Q407" s="22">
        <v>0</v>
      </c>
      <c r="R407" s="1" t="s">
        <v>570</v>
      </c>
    </row>
    <row r="408" spans="1:24">
      <c r="A408" s="4" t="s">
        <v>612</v>
      </c>
      <c r="O408" s="22">
        <v>6</v>
      </c>
      <c r="P408" s="22">
        <v>0</v>
      </c>
      <c r="Q408" s="22">
        <v>0</v>
      </c>
      <c r="R408" s="1" t="s">
        <v>570</v>
      </c>
    </row>
    <row r="409" spans="1:24">
      <c r="A409" s="6" t="s">
        <v>1050</v>
      </c>
      <c r="O409" s="22">
        <v>17</v>
      </c>
      <c r="P409" s="22">
        <v>17</v>
      </c>
      <c r="Q409" s="22">
        <v>17</v>
      </c>
      <c r="R409" s="1" t="s">
        <v>570</v>
      </c>
    </row>
    <row r="410" spans="1:24">
      <c r="A410" s="6" t="s">
        <v>1067</v>
      </c>
      <c r="O410" s="22">
        <v>15</v>
      </c>
      <c r="P410" s="22">
        <v>15</v>
      </c>
      <c r="Q410" s="22">
        <v>15</v>
      </c>
      <c r="R410" s="1" t="s">
        <v>570</v>
      </c>
      <c r="S410" s="133">
        <v>0.02</v>
      </c>
      <c r="T410" s="9" t="s">
        <v>1024</v>
      </c>
      <c r="U410" s="1" t="s">
        <v>571</v>
      </c>
    </row>
    <row r="411" spans="1:24">
      <c r="A411" s="6" t="s">
        <v>862</v>
      </c>
      <c r="O411" s="22">
        <v>19</v>
      </c>
      <c r="P411" s="22">
        <v>0</v>
      </c>
      <c r="Q411" s="22">
        <v>18</v>
      </c>
      <c r="R411" s="1" t="s">
        <v>570</v>
      </c>
      <c r="S411" s="133">
        <v>0.1</v>
      </c>
      <c r="T411" s="9" t="s">
        <v>621</v>
      </c>
      <c r="U411" s="1" t="s">
        <v>571</v>
      </c>
    </row>
    <row r="412" spans="1:24">
      <c r="A412" s="6" t="s">
        <v>1055</v>
      </c>
      <c r="O412" s="22">
        <v>0</v>
      </c>
      <c r="P412" s="22">
        <v>20</v>
      </c>
      <c r="Q412" s="22">
        <v>0</v>
      </c>
      <c r="R412" s="1" t="s">
        <v>570</v>
      </c>
      <c r="S412" s="139">
        <v>0.1</v>
      </c>
      <c r="T412" s="49" t="s">
        <v>625</v>
      </c>
      <c r="U412" s="1" t="s">
        <v>571</v>
      </c>
    </row>
    <row r="413" spans="1:24">
      <c r="A413" s="10" t="s">
        <v>1066</v>
      </c>
      <c r="O413" s="22">
        <v>27</v>
      </c>
      <c r="P413" s="22">
        <v>26</v>
      </c>
      <c r="Q413" s="22">
        <v>26</v>
      </c>
      <c r="R413" s="1" t="s">
        <v>570</v>
      </c>
      <c r="S413" s="139">
        <v>0.06</v>
      </c>
      <c r="T413" s="49" t="s">
        <v>1094</v>
      </c>
      <c r="U413" s="1" t="s">
        <v>847</v>
      </c>
    </row>
    <row r="414" spans="1:24">
      <c r="A414" s="10" t="s">
        <v>1102</v>
      </c>
      <c r="O414" s="22">
        <v>0</v>
      </c>
      <c r="P414" s="22">
        <v>20</v>
      </c>
      <c r="Q414" s="22">
        <v>40</v>
      </c>
      <c r="R414" s="1" t="s">
        <v>570</v>
      </c>
      <c r="S414" s="139">
        <v>0.06</v>
      </c>
      <c r="T414" s="49" t="s">
        <v>1093</v>
      </c>
      <c r="U414" s="1" t="s">
        <v>1024</v>
      </c>
    </row>
    <row r="415" spans="1:24">
      <c r="A415" s="10" t="s">
        <v>1184</v>
      </c>
      <c r="O415" s="22">
        <v>0</v>
      </c>
      <c r="P415" s="22">
        <v>32</v>
      </c>
      <c r="Q415" s="22">
        <v>32</v>
      </c>
      <c r="R415" s="1" t="s">
        <v>570</v>
      </c>
      <c r="S415" s="139"/>
      <c r="T415" s="49"/>
    </row>
    <row r="416" spans="1:24">
      <c r="A416" s="10" t="s">
        <v>1185</v>
      </c>
      <c r="O416" s="22">
        <v>23</v>
      </c>
      <c r="P416" s="22">
        <v>23</v>
      </c>
      <c r="Q416" s="22">
        <v>23</v>
      </c>
      <c r="R416" s="1" t="s">
        <v>570</v>
      </c>
      <c r="S416" s="139">
        <v>0.12</v>
      </c>
      <c r="T416" s="49" t="s">
        <v>1024</v>
      </c>
      <c r="U416" s="1" t="s">
        <v>571</v>
      </c>
      <c r="V416" s="109">
        <v>0.05</v>
      </c>
      <c r="W416" s="9" t="s">
        <v>1018</v>
      </c>
      <c r="X416" s="1" t="s">
        <v>1024</v>
      </c>
    </row>
    <row r="417" spans="1:30">
      <c r="A417" s="15" t="s">
        <v>1212</v>
      </c>
      <c r="O417" s="308">
        <v>0</v>
      </c>
      <c r="P417" s="308">
        <v>0</v>
      </c>
      <c r="Q417" s="308">
        <v>0</v>
      </c>
      <c r="R417" s="1" t="s">
        <v>570</v>
      </c>
      <c r="S417" s="139"/>
      <c r="T417" s="49"/>
      <c r="Z417" s="308"/>
      <c r="AA417" s="308"/>
      <c r="AB417" s="308"/>
      <c r="AD417" s="308"/>
    </row>
    <row r="418" spans="1:30" s="20" customFormat="1">
      <c r="A418" s="27" t="s">
        <v>620</v>
      </c>
      <c r="F418" s="26"/>
      <c r="N418" s="26"/>
      <c r="O418" s="33">
        <v>15</v>
      </c>
      <c r="P418" s="33">
        <v>0</v>
      </c>
      <c r="Q418" s="33">
        <v>0</v>
      </c>
      <c r="R418" s="26" t="s">
        <v>570</v>
      </c>
      <c r="S418" s="134"/>
      <c r="U418" s="26"/>
      <c r="V418" s="134"/>
      <c r="X418" s="26"/>
      <c r="Z418" s="33"/>
      <c r="AA418" s="33"/>
      <c r="AB418" s="33"/>
      <c r="AC418" s="112"/>
      <c r="AD418" s="33"/>
    </row>
    <row r="420" spans="1:30" s="44" customFormat="1">
      <c r="A420" s="117" t="s">
        <v>1083</v>
      </c>
      <c r="F420" s="45"/>
      <c r="N420" s="45"/>
      <c r="O420" s="85">
        <v>0</v>
      </c>
      <c r="P420" s="43">
        <v>31</v>
      </c>
      <c r="Q420" s="43">
        <v>30</v>
      </c>
      <c r="R420" s="45" t="s">
        <v>567</v>
      </c>
      <c r="S420" s="140">
        <v>0.04</v>
      </c>
      <c r="T420" s="44" t="s">
        <v>1093</v>
      </c>
      <c r="U420" s="45" t="s">
        <v>848</v>
      </c>
      <c r="V420" s="140">
        <v>0.04</v>
      </c>
      <c r="W420" s="53" t="s">
        <v>1094</v>
      </c>
      <c r="X420" s="45" t="s">
        <v>848</v>
      </c>
      <c r="Z420" s="43"/>
      <c r="AA420" s="43"/>
      <c r="AB420" s="43"/>
      <c r="AC420" s="130"/>
      <c r="AD420" s="43"/>
    </row>
    <row r="421" spans="1:30">
      <c r="A421" s="10" t="s">
        <v>1085</v>
      </c>
      <c r="O421" s="61">
        <v>26</v>
      </c>
      <c r="P421" s="40">
        <v>26</v>
      </c>
      <c r="Q421" s="40">
        <v>26</v>
      </c>
      <c r="R421" s="1" t="s">
        <v>567</v>
      </c>
      <c r="S421" s="133">
        <v>7.0000000000000007E-2</v>
      </c>
      <c r="T421" s="9" t="s">
        <v>1093</v>
      </c>
      <c r="U421" s="1" t="s">
        <v>847</v>
      </c>
    </row>
    <row r="422" spans="1:30">
      <c r="A422" s="10" t="s">
        <v>1081</v>
      </c>
      <c r="O422" s="61">
        <v>21</v>
      </c>
      <c r="P422" s="40">
        <v>0</v>
      </c>
      <c r="Q422" s="40">
        <v>0</v>
      </c>
      <c r="R422" s="1" t="s">
        <v>567</v>
      </c>
      <c r="S422" s="133">
        <v>0.1</v>
      </c>
      <c r="T422" s="9" t="s">
        <v>621</v>
      </c>
      <c r="U422" s="1" t="s">
        <v>572</v>
      </c>
    </row>
    <row r="423" spans="1:30">
      <c r="A423" s="10" t="s">
        <v>1084</v>
      </c>
      <c r="O423" s="61">
        <v>0</v>
      </c>
      <c r="P423" s="40">
        <v>30</v>
      </c>
      <c r="Q423" s="40">
        <v>31</v>
      </c>
      <c r="R423" s="1" t="s">
        <v>567</v>
      </c>
      <c r="S423" s="133">
        <v>7.0000000000000007E-2</v>
      </c>
      <c r="T423" s="2" t="s">
        <v>1112</v>
      </c>
      <c r="U423" s="1" t="s">
        <v>1024</v>
      </c>
    </row>
    <row r="424" spans="1:30">
      <c r="A424" s="5" t="s">
        <v>858</v>
      </c>
      <c r="O424" s="61">
        <v>10</v>
      </c>
      <c r="P424" s="40">
        <v>0</v>
      </c>
      <c r="Q424" s="40">
        <v>0</v>
      </c>
      <c r="R424" s="1" t="s">
        <v>567</v>
      </c>
      <c r="S424" s="133">
        <v>0.06</v>
      </c>
      <c r="T424" s="9" t="s">
        <v>622</v>
      </c>
      <c r="U424" s="1" t="s">
        <v>572</v>
      </c>
      <c r="V424" s="109">
        <v>0.01</v>
      </c>
      <c r="W424" s="2" t="s">
        <v>621</v>
      </c>
      <c r="X424" s="1" t="s">
        <v>572</v>
      </c>
    </row>
    <row r="425" spans="1:30">
      <c r="A425" s="5" t="s">
        <v>859</v>
      </c>
      <c r="O425" s="61">
        <v>0</v>
      </c>
      <c r="P425" s="40">
        <v>10</v>
      </c>
      <c r="Q425" s="40">
        <v>0</v>
      </c>
      <c r="R425" s="1" t="s">
        <v>567</v>
      </c>
      <c r="S425" s="133">
        <v>0.06</v>
      </c>
      <c r="T425" s="9" t="s">
        <v>625</v>
      </c>
      <c r="U425" s="1" t="s">
        <v>572</v>
      </c>
      <c r="V425" s="109">
        <v>0.01</v>
      </c>
      <c r="W425" s="2" t="s">
        <v>628</v>
      </c>
      <c r="X425" s="1" t="s">
        <v>572</v>
      </c>
    </row>
    <row r="426" spans="1:30">
      <c r="A426" s="5" t="s">
        <v>860</v>
      </c>
      <c r="O426" s="61">
        <v>0</v>
      </c>
      <c r="P426" s="40">
        <v>0</v>
      </c>
      <c r="Q426" s="40">
        <v>10</v>
      </c>
      <c r="R426" s="1" t="s">
        <v>567</v>
      </c>
      <c r="S426" s="133">
        <v>0.06</v>
      </c>
      <c r="T426" s="9" t="s">
        <v>629</v>
      </c>
      <c r="U426" s="1" t="s">
        <v>572</v>
      </c>
      <c r="V426" s="109">
        <v>0.01</v>
      </c>
      <c r="W426" s="2" t="s">
        <v>627</v>
      </c>
      <c r="X426" s="1" t="s">
        <v>572</v>
      </c>
    </row>
    <row r="427" spans="1:30">
      <c r="A427" s="5" t="s">
        <v>851</v>
      </c>
      <c r="O427" s="61">
        <v>9</v>
      </c>
      <c r="P427" s="40">
        <v>9</v>
      </c>
      <c r="Q427" s="40">
        <v>0</v>
      </c>
      <c r="R427" s="1" t="s">
        <v>567</v>
      </c>
      <c r="W427" s="2"/>
    </row>
    <row r="428" spans="1:30">
      <c r="A428" s="5" t="s">
        <v>1089</v>
      </c>
      <c r="O428" s="61">
        <v>0</v>
      </c>
      <c r="P428" s="40">
        <v>8</v>
      </c>
      <c r="Q428" s="40">
        <v>8</v>
      </c>
      <c r="R428" s="1" t="s">
        <v>567</v>
      </c>
      <c r="S428" s="133">
        <v>0.08</v>
      </c>
      <c r="T428" s="9" t="s">
        <v>629</v>
      </c>
      <c r="U428" s="1" t="s">
        <v>572</v>
      </c>
    </row>
    <row r="429" spans="1:30">
      <c r="A429" s="6" t="s">
        <v>1086</v>
      </c>
      <c r="O429" s="61">
        <v>12</v>
      </c>
      <c r="P429" s="40">
        <v>12</v>
      </c>
      <c r="Q429" s="40">
        <v>12</v>
      </c>
      <c r="R429" s="1" t="s">
        <v>567</v>
      </c>
      <c r="S429" s="133">
        <v>0.04</v>
      </c>
      <c r="T429" s="9" t="s">
        <v>1024</v>
      </c>
      <c r="U429" s="1" t="s">
        <v>572</v>
      </c>
    </row>
    <row r="430" spans="1:30">
      <c r="A430" s="6" t="s">
        <v>1082</v>
      </c>
      <c r="O430" s="61">
        <v>16</v>
      </c>
      <c r="P430" s="40">
        <v>17</v>
      </c>
      <c r="Q430" s="40">
        <v>0</v>
      </c>
      <c r="R430" s="1" t="s">
        <v>567</v>
      </c>
      <c r="S430" s="133">
        <v>0.08</v>
      </c>
      <c r="T430" s="9" t="s">
        <v>621</v>
      </c>
      <c r="U430" s="1" t="s">
        <v>572</v>
      </c>
      <c r="V430" s="109">
        <v>0.08</v>
      </c>
      <c r="W430" s="2" t="s">
        <v>625</v>
      </c>
      <c r="X430" s="1" t="s">
        <v>572</v>
      </c>
    </row>
    <row r="431" spans="1:30">
      <c r="A431" s="10" t="s">
        <v>1192</v>
      </c>
      <c r="O431" s="61">
        <v>25</v>
      </c>
      <c r="P431" s="40">
        <v>25</v>
      </c>
      <c r="Q431" s="40">
        <v>25</v>
      </c>
      <c r="R431" s="1" t="s">
        <v>567</v>
      </c>
      <c r="S431" s="133">
        <v>0.09</v>
      </c>
      <c r="T431" s="9" t="s">
        <v>1094</v>
      </c>
      <c r="U431" s="1" t="s">
        <v>848</v>
      </c>
      <c r="W431" s="2"/>
    </row>
    <row r="432" spans="1:30" s="20" customFormat="1">
      <c r="A432" s="28" t="s">
        <v>1090</v>
      </c>
      <c r="F432" s="26"/>
      <c r="N432" s="26"/>
      <c r="O432" s="86">
        <v>15</v>
      </c>
      <c r="P432" s="33">
        <v>14</v>
      </c>
      <c r="Q432" s="33">
        <v>14</v>
      </c>
      <c r="R432" s="26" t="s">
        <v>567</v>
      </c>
      <c r="S432" s="134">
        <v>0.04</v>
      </c>
      <c r="T432" s="20" t="s">
        <v>1111</v>
      </c>
      <c r="U432" s="26" t="s">
        <v>847</v>
      </c>
      <c r="V432" s="134"/>
      <c r="X432" s="26"/>
      <c r="Z432" s="33"/>
      <c r="AA432" s="33"/>
      <c r="AB432" s="33"/>
      <c r="AC432" s="112"/>
      <c r="AD432" s="33"/>
    </row>
    <row r="438" spans="1:30">
      <c r="A438" s="3" t="s">
        <v>752</v>
      </c>
      <c r="O438" s="22">
        <v>2</v>
      </c>
      <c r="P438" s="22">
        <v>2</v>
      </c>
      <c r="Q438" s="22">
        <v>2</v>
      </c>
      <c r="R438" s="1" t="s">
        <v>575</v>
      </c>
      <c r="V438" s="9"/>
      <c r="Z438" s="9"/>
      <c r="AA438" s="9"/>
      <c r="AB438" s="9"/>
      <c r="AC438" s="143"/>
      <c r="AD438" s="9"/>
    </row>
    <row r="439" spans="1:30">
      <c r="A439" s="3" t="s">
        <v>803</v>
      </c>
      <c r="O439" s="22">
        <v>1</v>
      </c>
      <c r="P439" s="22">
        <v>0</v>
      </c>
      <c r="Q439" s="22">
        <v>0</v>
      </c>
      <c r="R439" s="1" t="s">
        <v>575</v>
      </c>
      <c r="S439" s="133" t="s">
        <v>569</v>
      </c>
      <c r="U439" s="1" t="s">
        <v>572</v>
      </c>
      <c r="V439" s="9"/>
      <c r="Z439" s="9"/>
      <c r="AA439" s="9"/>
      <c r="AB439" s="9"/>
      <c r="AC439" s="143"/>
      <c r="AD439" s="9"/>
    </row>
    <row r="440" spans="1:30">
      <c r="A440" s="3" t="s">
        <v>804</v>
      </c>
      <c r="O440" s="22">
        <v>1</v>
      </c>
      <c r="P440" s="22">
        <v>0</v>
      </c>
      <c r="Q440" s="22">
        <v>0</v>
      </c>
      <c r="R440" s="1" t="s">
        <v>575</v>
      </c>
      <c r="S440" s="133" t="s">
        <v>569</v>
      </c>
      <c r="U440" s="1" t="s">
        <v>566</v>
      </c>
      <c r="V440" s="9"/>
      <c r="Z440" s="9"/>
      <c r="AA440" s="9"/>
      <c r="AB440" s="9"/>
      <c r="AC440" s="143"/>
      <c r="AD440" s="9"/>
    </row>
    <row r="441" spans="1:30">
      <c r="A441" s="3" t="s">
        <v>805</v>
      </c>
      <c r="O441" s="22">
        <v>1</v>
      </c>
      <c r="P441" s="22">
        <v>0</v>
      </c>
      <c r="Q441" s="22">
        <v>0</v>
      </c>
      <c r="R441" s="1" t="s">
        <v>575</v>
      </c>
      <c r="S441" s="133" t="s">
        <v>569</v>
      </c>
      <c r="U441" s="1" t="s">
        <v>571</v>
      </c>
      <c r="V441" s="9"/>
      <c r="Z441" s="9"/>
      <c r="AA441" s="9"/>
      <c r="AB441" s="9"/>
      <c r="AC441" s="143"/>
      <c r="AD441" s="9"/>
    </row>
    <row r="442" spans="1:30">
      <c r="A442" s="3" t="s">
        <v>951</v>
      </c>
      <c r="O442" s="22">
        <v>1</v>
      </c>
      <c r="P442" s="22">
        <v>0</v>
      </c>
      <c r="Q442" s="22">
        <v>0</v>
      </c>
      <c r="R442" s="1" t="s">
        <v>575</v>
      </c>
      <c r="S442" s="133" t="s">
        <v>568</v>
      </c>
      <c r="U442" s="1" t="s">
        <v>572</v>
      </c>
      <c r="V442" s="9"/>
      <c r="Z442" s="9"/>
      <c r="AA442" s="9"/>
      <c r="AB442" s="9"/>
      <c r="AC442" s="143"/>
      <c r="AD442" s="9"/>
    </row>
    <row r="443" spans="1:30">
      <c r="A443" s="3" t="s">
        <v>952</v>
      </c>
      <c r="O443" s="22">
        <v>1</v>
      </c>
      <c r="P443" s="22">
        <v>0</v>
      </c>
      <c r="Q443" s="22">
        <v>0</v>
      </c>
      <c r="R443" s="1" t="s">
        <v>575</v>
      </c>
      <c r="S443" s="133" t="s">
        <v>568</v>
      </c>
      <c r="U443" s="1" t="s">
        <v>566</v>
      </c>
      <c r="V443" s="9"/>
      <c r="Z443" s="9"/>
      <c r="AA443" s="9"/>
      <c r="AB443" s="9"/>
      <c r="AC443" s="143"/>
      <c r="AD443" s="9"/>
    </row>
    <row r="444" spans="1:30">
      <c r="A444" s="3" t="s">
        <v>953</v>
      </c>
      <c r="O444" s="22">
        <v>1</v>
      </c>
      <c r="P444" s="22">
        <v>0</v>
      </c>
      <c r="Q444" s="22">
        <v>0</v>
      </c>
      <c r="R444" s="1" t="s">
        <v>575</v>
      </c>
      <c r="S444" s="133" t="s">
        <v>568</v>
      </c>
      <c r="U444" s="1" t="s">
        <v>571</v>
      </c>
      <c r="V444" s="9"/>
      <c r="Z444" s="9"/>
      <c r="AA444" s="9"/>
      <c r="AB444" s="9"/>
      <c r="AC444" s="143"/>
      <c r="AD444" s="9"/>
    </row>
    <row r="445" spans="1:30">
      <c r="A445" s="3" t="s">
        <v>754</v>
      </c>
      <c r="O445" s="22">
        <v>1</v>
      </c>
      <c r="P445" s="22">
        <v>0</v>
      </c>
      <c r="Q445" s="22">
        <v>0</v>
      </c>
      <c r="R445" s="1" t="s">
        <v>575</v>
      </c>
      <c r="S445" s="133" t="s">
        <v>588</v>
      </c>
      <c r="U445" s="1" t="s">
        <v>572</v>
      </c>
      <c r="V445" s="9"/>
      <c r="Z445" s="9"/>
      <c r="AA445" s="9"/>
      <c r="AB445" s="9"/>
      <c r="AC445" s="143"/>
      <c r="AD445" s="9"/>
    </row>
    <row r="446" spans="1:30">
      <c r="A446" s="3" t="s">
        <v>758</v>
      </c>
      <c r="O446" s="22">
        <v>1</v>
      </c>
      <c r="P446" s="22">
        <v>0</v>
      </c>
      <c r="Q446" s="22">
        <v>0</v>
      </c>
      <c r="R446" s="1" t="s">
        <v>575</v>
      </c>
      <c r="S446" s="133" t="s">
        <v>588</v>
      </c>
      <c r="U446" s="1" t="s">
        <v>566</v>
      </c>
      <c r="V446" s="9"/>
      <c r="Z446" s="9"/>
      <c r="AA446" s="9"/>
      <c r="AB446" s="9"/>
      <c r="AC446" s="143"/>
      <c r="AD446" s="9"/>
    </row>
    <row r="447" spans="1:30">
      <c r="A447" s="3" t="s">
        <v>759</v>
      </c>
      <c r="O447" s="22">
        <v>1</v>
      </c>
      <c r="P447" s="22">
        <v>0</v>
      </c>
      <c r="Q447" s="22">
        <v>0</v>
      </c>
      <c r="R447" s="1" t="s">
        <v>575</v>
      </c>
      <c r="S447" s="133" t="s">
        <v>588</v>
      </c>
      <c r="U447" s="1" t="s">
        <v>571</v>
      </c>
      <c r="V447" s="9"/>
      <c r="Z447" s="9"/>
      <c r="AA447" s="9"/>
      <c r="AB447" s="9"/>
      <c r="AC447" s="143"/>
      <c r="AD447" s="9"/>
    </row>
    <row r="448" spans="1:30">
      <c r="A448" s="3" t="s">
        <v>755</v>
      </c>
      <c r="O448" s="22">
        <v>0</v>
      </c>
      <c r="P448" s="22">
        <v>0</v>
      </c>
      <c r="Q448" s="22">
        <v>1</v>
      </c>
      <c r="R448" s="1" t="s">
        <v>575</v>
      </c>
      <c r="S448" s="133" t="s">
        <v>573</v>
      </c>
      <c r="U448" s="1" t="s">
        <v>572</v>
      </c>
      <c r="V448" s="9"/>
      <c r="Z448" s="9"/>
      <c r="AA448" s="9"/>
      <c r="AB448" s="9"/>
      <c r="AC448" s="143"/>
      <c r="AD448" s="9"/>
    </row>
    <row r="449" spans="1:30">
      <c r="A449" s="3" t="s">
        <v>756</v>
      </c>
      <c r="O449" s="22">
        <v>0</v>
      </c>
      <c r="P449" s="22">
        <v>0</v>
      </c>
      <c r="Q449" s="22">
        <v>1</v>
      </c>
      <c r="R449" s="1" t="s">
        <v>575</v>
      </c>
      <c r="S449" s="133" t="s">
        <v>573</v>
      </c>
      <c r="U449" s="1" t="s">
        <v>566</v>
      </c>
      <c r="V449" s="9"/>
      <c r="Z449" s="9"/>
      <c r="AA449" s="9"/>
      <c r="AB449" s="9"/>
      <c r="AC449" s="143"/>
      <c r="AD449" s="9"/>
    </row>
    <row r="450" spans="1:30">
      <c r="A450" s="3" t="s">
        <v>757</v>
      </c>
      <c r="O450" s="22">
        <v>0</v>
      </c>
      <c r="P450" s="22">
        <v>0</v>
      </c>
      <c r="Q450" s="22">
        <v>1</v>
      </c>
      <c r="R450" s="1" t="s">
        <v>575</v>
      </c>
      <c r="S450" s="133" t="s">
        <v>573</v>
      </c>
      <c r="U450" s="1" t="s">
        <v>571</v>
      </c>
      <c r="V450" s="9"/>
      <c r="Z450" s="9"/>
      <c r="AA450" s="9"/>
      <c r="AB450" s="9"/>
      <c r="AC450" s="143"/>
      <c r="AD450" s="9"/>
    </row>
    <row r="451" spans="1:30">
      <c r="A451" s="3" t="s">
        <v>954</v>
      </c>
      <c r="O451" s="22">
        <v>0</v>
      </c>
      <c r="P451" s="22">
        <v>0</v>
      </c>
      <c r="Q451" s="22">
        <v>1</v>
      </c>
      <c r="R451" s="1" t="s">
        <v>575</v>
      </c>
      <c r="S451" s="133" t="s">
        <v>580</v>
      </c>
      <c r="U451" s="1" t="s">
        <v>572</v>
      </c>
      <c r="V451" s="9"/>
      <c r="Z451" s="9"/>
      <c r="AA451" s="9"/>
      <c r="AB451" s="9"/>
      <c r="AC451" s="143"/>
      <c r="AD451" s="9"/>
    </row>
    <row r="452" spans="1:30">
      <c r="A452" s="3" t="s">
        <v>955</v>
      </c>
      <c r="O452" s="22">
        <v>0</v>
      </c>
      <c r="P452" s="22">
        <v>0</v>
      </c>
      <c r="Q452" s="22">
        <v>1</v>
      </c>
      <c r="R452" s="1" t="s">
        <v>575</v>
      </c>
      <c r="S452" s="133" t="s">
        <v>580</v>
      </c>
      <c r="U452" s="1" t="s">
        <v>566</v>
      </c>
      <c r="V452" s="9"/>
      <c r="Z452" s="9"/>
      <c r="AA452" s="9"/>
      <c r="AB452" s="9"/>
      <c r="AC452" s="143"/>
      <c r="AD452" s="9"/>
    </row>
    <row r="453" spans="1:30">
      <c r="A453" s="3" t="s">
        <v>956</v>
      </c>
      <c r="O453" s="22">
        <v>0</v>
      </c>
      <c r="P453" s="22">
        <v>0</v>
      </c>
      <c r="Q453" s="22">
        <v>1</v>
      </c>
      <c r="R453" s="1" t="s">
        <v>575</v>
      </c>
      <c r="S453" s="133" t="s">
        <v>580</v>
      </c>
      <c r="U453" s="1" t="s">
        <v>571</v>
      </c>
      <c r="V453" s="9"/>
      <c r="Z453" s="9"/>
      <c r="AA453" s="9"/>
      <c r="AB453" s="9"/>
      <c r="AC453" s="143"/>
      <c r="AD453" s="9"/>
    </row>
    <row r="454" spans="1:30">
      <c r="A454" s="3" t="s">
        <v>772</v>
      </c>
      <c r="O454" s="22">
        <v>0</v>
      </c>
      <c r="P454" s="22">
        <v>0</v>
      </c>
      <c r="Q454" s="22">
        <v>1</v>
      </c>
      <c r="R454" s="1" t="s">
        <v>575</v>
      </c>
      <c r="S454" s="133" t="s">
        <v>589</v>
      </c>
      <c r="U454" s="1" t="s">
        <v>572</v>
      </c>
      <c r="V454" s="9"/>
      <c r="Z454" s="9"/>
      <c r="AA454" s="9"/>
      <c r="AB454" s="9"/>
      <c r="AC454" s="143"/>
      <c r="AD454" s="9"/>
    </row>
    <row r="455" spans="1:30">
      <c r="A455" s="3" t="s">
        <v>773</v>
      </c>
      <c r="O455" s="22">
        <v>0</v>
      </c>
      <c r="P455" s="22">
        <v>0</v>
      </c>
      <c r="Q455" s="22">
        <v>1</v>
      </c>
      <c r="R455" s="1" t="s">
        <v>575</v>
      </c>
      <c r="S455" s="133" t="s">
        <v>589</v>
      </c>
      <c r="U455" s="1" t="s">
        <v>566</v>
      </c>
      <c r="V455" s="9"/>
      <c r="Z455" s="9"/>
      <c r="AA455" s="9"/>
      <c r="AB455" s="9"/>
      <c r="AC455" s="143"/>
      <c r="AD455" s="9"/>
    </row>
    <row r="456" spans="1:30">
      <c r="A456" s="3" t="s">
        <v>774</v>
      </c>
      <c r="O456" s="22">
        <v>0</v>
      </c>
      <c r="P456" s="22">
        <v>0</v>
      </c>
      <c r="Q456" s="22">
        <v>1</v>
      </c>
      <c r="R456" s="1" t="s">
        <v>575</v>
      </c>
      <c r="S456" s="133" t="s">
        <v>589</v>
      </c>
      <c r="U456" s="1" t="s">
        <v>571</v>
      </c>
      <c r="V456" s="9"/>
      <c r="Z456" s="9"/>
      <c r="AA456" s="9"/>
      <c r="AB456" s="9"/>
      <c r="AC456" s="143"/>
      <c r="AD456" s="9"/>
    </row>
    <row r="457" spans="1:30">
      <c r="A457" s="3" t="s">
        <v>760</v>
      </c>
      <c r="O457" s="22">
        <v>0</v>
      </c>
      <c r="P457" s="22">
        <v>1</v>
      </c>
      <c r="Q457" s="22">
        <v>0</v>
      </c>
      <c r="R457" s="1" t="s">
        <v>575</v>
      </c>
      <c r="S457" s="133" t="s">
        <v>581</v>
      </c>
      <c r="U457" s="1" t="s">
        <v>572</v>
      </c>
      <c r="V457" s="9"/>
      <c r="Z457" s="9"/>
      <c r="AA457" s="9"/>
      <c r="AB457" s="9"/>
      <c r="AC457" s="143"/>
      <c r="AD457" s="9"/>
    </row>
    <row r="458" spans="1:30">
      <c r="A458" s="3" t="s">
        <v>761</v>
      </c>
      <c r="O458" s="22">
        <v>0</v>
      </c>
      <c r="P458" s="22">
        <v>1</v>
      </c>
      <c r="Q458" s="22">
        <v>0</v>
      </c>
      <c r="R458" s="1" t="s">
        <v>575</v>
      </c>
      <c r="S458" s="133" t="s">
        <v>581</v>
      </c>
      <c r="U458" s="1" t="s">
        <v>566</v>
      </c>
      <c r="V458" s="9"/>
      <c r="Z458" s="9"/>
      <c r="AA458" s="9"/>
      <c r="AB458" s="9"/>
      <c r="AC458" s="143"/>
      <c r="AD458" s="9"/>
    </row>
    <row r="459" spans="1:30">
      <c r="A459" s="3" t="s">
        <v>762</v>
      </c>
      <c r="O459" s="22">
        <v>0</v>
      </c>
      <c r="P459" s="22">
        <v>1</v>
      </c>
      <c r="Q459" s="22">
        <v>0</v>
      </c>
      <c r="R459" s="1" t="s">
        <v>575</v>
      </c>
      <c r="S459" s="133" t="s">
        <v>581</v>
      </c>
      <c r="U459" s="1" t="s">
        <v>571</v>
      </c>
      <c r="V459" s="9"/>
      <c r="Z459" s="9"/>
      <c r="AA459" s="9"/>
      <c r="AB459" s="9"/>
      <c r="AC459" s="143"/>
      <c r="AD459" s="9"/>
    </row>
    <row r="460" spans="1:30">
      <c r="A460" s="3" t="s">
        <v>957</v>
      </c>
      <c r="O460" s="22">
        <v>0</v>
      </c>
      <c r="P460" s="22">
        <v>1</v>
      </c>
      <c r="Q460" s="22">
        <v>0</v>
      </c>
      <c r="R460" s="1" t="s">
        <v>575</v>
      </c>
      <c r="S460" s="133" t="s">
        <v>582</v>
      </c>
      <c r="U460" s="1" t="s">
        <v>572</v>
      </c>
      <c r="V460" s="9"/>
      <c r="Z460" s="9"/>
      <c r="AA460" s="9"/>
      <c r="AB460" s="9"/>
      <c r="AC460" s="143"/>
      <c r="AD460" s="9"/>
    </row>
    <row r="461" spans="1:30">
      <c r="A461" s="3" t="s">
        <v>958</v>
      </c>
      <c r="O461" s="22">
        <v>0</v>
      </c>
      <c r="P461" s="22">
        <v>1</v>
      </c>
      <c r="Q461" s="22">
        <v>0</v>
      </c>
      <c r="R461" s="1" t="s">
        <v>575</v>
      </c>
      <c r="S461" s="133" t="s">
        <v>582</v>
      </c>
      <c r="U461" s="1" t="s">
        <v>566</v>
      </c>
      <c r="V461" s="9"/>
      <c r="Z461" s="9"/>
      <c r="AA461" s="9"/>
      <c r="AB461" s="9"/>
      <c r="AC461" s="143"/>
      <c r="AD461" s="9"/>
    </row>
    <row r="462" spans="1:30">
      <c r="A462" s="3" t="s">
        <v>959</v>
      </c>
      <c r="O462" s="22">
        <v>0</v>
      </c>
      <c r="P462" s="22">
        <v>1</v>
      </c>
      <c r="Q462" s="22">
        <v>0</v>
      </c>
      <c r="R462" s="1" t="s">
        <v>575</v>
      </c>
      <c r="S462" s="133" t="s">
        <v>582</v>
      </c>
      <c r="U462" s="1" t="s">
        <v>571</v>
      </c>
      <c r="V462" s="9"/>
      <c r="Z462" s="9"/>
      <c r="AA462" s="9"/>
      <c r="AB462" s="9"/>
      <c r="AC462" s="143"/>
      <c r="AD462" s="9"/>
    </row>
    <row r="463" spans="1:30">
      <c r="A463" s="3" t="s">
        <v>767</v>
      </c>
      <c r="O463" s="22">
        <v>0</v>
      </c>
      <c r="P463" s="22">
        <v>1</v>
      </c>
      <c r="Q463" s="22">
        <v>0</v>
      </c>
      <c r="R463" s="1" t="s">
        <v>575</v>
      </c>
      <c r="S463" s="133" t="s">
        <v>583</v>
      </c>
      <c r="U463" s="1" t="s">
        <v>572</v>
      </c>
      <c r="V463" s="9"/>
      <c r="Z463" s="9"/>
      <c r="AA463" s="9"/>
      <c r="AB463" s="9"/>
      <c r="AC463" s="143"/>
      <c r="AD463" s="9"/>
    </row>
    <row r="464" spans="1:30">
      <c r="A464" s="3" t="s">
        <v>768</v>
      </c>
      <c r="O464" s="22">
        <v>0</v>
      </c>
      <c r="P464" s="22">
        <v>1</v>
      </c>
      <c r="Q464" s="22">
        <v>0</v>
      </c>
      <c r="R464" s="1" t="s">
        <v>575</v>
      </c>
      <c r="S464" s="133" t="s">
        <v>583</v>
      </c>
      <c r="U464" s="1" t="s">
        <v>566</v>
      </c>
      <c r="V464" s="9"/>
      <c r="Z464" s="9"/>
      <c r="AA464" s="9"/>
      <c r="AB464" s="9"/>
      <c r="AC464" s="143"/>
      <c r="AD464" s="9"/>
    </row>
    <row r="465" spans="1:30">
      <c r="A465" s="3" t="s">
        <v>769</v>
      </c>
      <c r="O465" s="22">
        <v>0</v>
      </c>
      <c r="P465" s="22">
        <v>1</v>
      </c>
      <c r="Q465" s="22">
        <v>0</v>
      </c>
      <c r="R465" s="1" t="s">
        <v>575</v>
      </c>
      <c r="S465" s="133" t="s">
        <v>583</v>
      </c>
      <c r="U465" s="1" t="s">
        <v>571</v>
      </c>
      <c r="V465" s="9"/>
      <c r="Z465" s="9"/>
      <c r="AA465" s="9"/>
      <c r="AB465" s="9"/>
      <c r="AC465" s="143"/>
      <c r="AD465" s="9"/>
    </row>
    <row r="466" spans="1:30">
      <c r="A466" s="4" t="s">
        <v>706</v>
      </c>
      <c r="O466" s="22">
        <v>10</v>
      </c>
      <c r="P466" s="22">
        <v>0</v>
      </c>
      <c r="Q466" s="22">
        <v>0</v>
      </c>
      <c r="R466" s="1" t="s">
        <v>575</v>
      </c>
      <c r="V466" s="9"/>
      <c r="Z466" s="9"/>
      <c r="AA466" s="9"/>
      <c r="AB466" s="9"/>
      <c r="AC466" s="143"/>
      <c r="AD466" s="9"/>
    </row>
    <row r="467" spans="1:30">
      <c r="A467" s="4" t="s">
        <v>707</v>
      </c>
      <c r="O467" s="22">
        <v>0</v>
      </c>
      <c r="P467" s="22">
        <v>0</v>
      </c>
      <c r="Q467" s="22">
        <v>0</v>
      </c>
      <c r="R467" s="1" t="s">
        <v>575</v>
      </c>
      <c r="S467" s="133" t="s">
        <v>709</v>
      </c>
      <c r="U467" s="1" t="s">
        <v>566</v>
      </c>
      <c r="V467" s="9"/>
      <c r="Z467" s="9"/>
      <c r="AA467" s="9"/>
      <c r="AB467" s="9"/>
      <c r="AC467" s="143"/>
      <c r="AD467" s="9"/>
    </row>
    <row r="468" spans="1:30">
      <c r="A468" s="4" t="s">
        <v>708</v>
      </c>
      <c r="O468" s="22">
        <v>0</v>
      </c>
      <c r="P468" s="22">
        <v>0</v>
      </c>
      <c r="Q468" s="22">
        <v>0</v>
      </c>
      <c r="R468" s="1" t="s">
        <v>575</v>
      </c>
      <c r="S468" s="133" t="s">
        <v>709</v>
      </c>
      <c r="U468" s="1" t="s">
        <v>571</v>
      </c>
      <c r="V468" s="9"/>
      <c r="Z468" s="9"/>
      <c r="AA468" s="9"/>
      <c r="AB468" s="9"/>
      <c r="AC468" s="143"/>
      <c r="AD468" s="9"/>
    </row>
    <row r="469" spans="1:30">
      <c r="A469" s="4" t="s">
        <v>710</v>
      </c>
      <c r="O469" s="22">
        <v>0</v>
      </c>
      <c r="P469" s="22">
        <v>10</v>
      </c>
      <c r="Q469" s="22">
        <v>0</v>
      </c>
      <c r="R469" s="1" t="s">
        <v>575</v>
      </c>
      <c r="V469" s="9"/>
      <c r="Z469" s="9"/>
      <c r="AA469" s="9"/>
      <c r="AB469" s="9"/>
      <c r="AC469" s="143"/>
      <c r="AD469" s="9"/>
    </row>
    <row r="470" spans="1:30">
      <c r="A470" s="4" t="s">
        <v>711</v>
      </c>
      <c r="O470" s="22">
        <v>0</v>
      </c>
      <c r="P470" s="22">
        <v>0</v>
      </c>
      <c r="Q470" s="22">
        <v>0</v>
      </c>
      <c r="R470" s="1" t="s">
        <v>575</v>
      </c>
      <c r="S470" s="133" t="s">
        <v>713</v>
      </c>
      <c r="U470" s="1" t="s">
        <v>566</v>
      </c>
      <c r="Z470" s="9"/>
      <c r="AA470" s="9"/>
      <c r="AB470" s="9"/>
      <c r="AC470" s="143"/>
      <c r="AD470" s="9"/>
    </row>
    <row r="471" spans="1:30">
      <c r="A471" s="4" t="s">
        <v>712</v>
      </c>
      <c r="O471" s="22">
        <v>0</v>
      </c>
      <c r="P471" s="22">
        <v>0</v>
      </c>
      <c r="Q471" s="22">
        <v>0</v>
      </c>
      <c r="R471" s="1" t="s">
        <v>575</v>
      </c>
      <c r="S471" s="135" t="s">
        <v>713</v>
      </c>
      <c r="T471" s="2"/>
      <c r="U471" s="12" t="s">
        <v>571</v>
      </c>
      <c r="Z471" s="9"/>
      <c r="AA471" s="9"/>
      <c r="AB471" s="9"/>
      <c r="AC471" s="143"/>
      <c r="AD471" s="9"/>
    </row>
    <row r="472" spans="1:30">
      <c r="A472" s="4" t="s">
        <v>714</v>
      </c>
      <c r="O472" s="22">
        <v>0</v>
      </c>
      <c r="P472" s="22">
        <v>0</v>
      </c>
      <c r="Q472" s="22">
        <v>10</v>
      </c>
      <c r="R472" s="1" t="s">
        <v>575</v>
      </c>
      <c r="Z472" s="9"/>
      <c r="AA472" s="9"/>
      <c r="AB472" s="9"/>
      <c r="AC472" s="143"/>
      <c r="AD472" s="9"/>
    </row>
    <row r="473" spans="1:30">
      <c r="A473" s="4" t="s">
        <v>715</v>
      </c>
      <c r="O473" s="22">
        <v>0</v>
      </c>
      <c r="P473" s="22">
        <v>0</v>
      </c>
      <c r="Q473" s="22">
        <v>0</v>
      </c>
      <c r="R473" s="1" t="s">
        <v>575</v>
      </c>
      <c r="S473" s="135" t="s">
        <v>717</v>
      </c>
      <c r="T473" s="2"/>
      <c r="U473" s="12" t="s">
        <v>566</v>
      </c>
      <c r="Z473" s="9"/>
      <c r="AA473" s="9"/>
      <c r="AB473" s="9"/>
      <c r="AC473" s="143"/>
      <c r="AD473" s="9"/>
    </row>
    <row r="474" spans="1:30">
      <c r="A474" s="4" t="s">
        <v>716</v>
      </c>
      <c r="O474" s="22">
        <v>0</v>
      </c>
      <c r="P474" s="22">
        <v>0</v>
      </c>
      <c r="Q474" s="22">
        <v>0</v>
      </c>
      <c r="R474" s="1" t="s">
        <v>575</v>
      </c>
      <c r="S474" s="135" t="s">
        <v>717</v>
      </c>
      <c r="T474" s="2"/>
      <c r="U474" s="12" t="s">
        <v>571</v>
      </c>
      <c r="Z474" s="9"/>
      <c r="AA474" s="9"/>
      <c r="AB474" s="9"/>
      <c r="AC474" s="143"/>
      <c r="AD474" s="9"/>
    </row>
    <row r="475" spans="1:30">
      <c r="A475" s="4" t="s">
        <v>718</v>
      </c>
      <c r="O475" s="22">
        <v>1</v>
      </c>
      <c r="P475" s="22">
        <v>1</v>
      </c>
      <c r="Q475" s="22">
        <v>1</v>
      </c>
      <c r="R475" s="1" t="s">
        <v>575</v>
      </c>
      <c r="S475" s="135" t="s">
        <v>719</v>
      </c>
      <c r="T475" s="2"/>
      <c r="U475" s="12" t="s">
        <v>571</v>
      </c>
      <c r="W475" s="2" t="s">
        <v>720</v>
      </c>
      <c r="X475" s="1" t="s">
        <v>571</v>
      </c>
      <c r="Z475" s="9"/>
      <c r="AA475" s="9"/>
      <c r="AB475" s="9"/>
      <c r="AC475" s="143"/>
      <c r="AD475" s="9"/>
    </row>
    <row r="476" spans="1:30">
      <c r="A476" s="4" t="s">
        <v>721</v>
      </c>
      <c r="O476" s="22">
        <v>2</v>
      </c>
      <c r="P476" s="22">
        <v>0</v>
      </c>
      <c r="Q476" s="22">
        <v>0</v>
      </c>
      <c r="R476" s="1" t="s">
        <v>575</v>
      </c>
      <c r="S476" s="135" t="s">
        <v>722</v>
      </c>
      <c r="T476" s="2"/>
      <c r="U476" s="12" t="s">
        <v>572</v>
      </c>
      <c r="Z476" s="9"/>
      <c r="AA476" s="9"/>
      <c r="AB476" s="9"/>
      <c r="AC476" s="143"/>
      <c r="AD476" s="9"/>
    </row>
    <row r="477" spans="1:30">
      <c r="A477" s="4" t="s">
        <v>723</v>
      </c>
      <c r="O477" s="22">
        <v>2</v>
      </c>
      <c r="P477" s="22">
        <v>0</v>
      </c>
      <c r="Q477" s="22">
        <v>0</v>
      </c>
      <c r="R477" s="1" t="s">
        <v>575</v>
      </c>
      <c r="S477" s="135" t="s">
        <v>722</v>
      </c>
      <c r="T477" s="2"/>
      <c r="U477" s="12" t="s">
        <v>566</v>
      </c>
      <c r="Z477" s="9"/>
      <c r="AA477" s="9"/>
      <c r="AB477" s="9"/>
      <c r="AC477" s="143"/>
      <c r="AD477" s="9"/>
    </row>
    <row r="478" spans="1:30">
      <c r="A478" s="4" t="s">
        <v>724</v>
      </c>
      <c r="O478" s="22">
        <v>2</v>
      </c>
      <c r="P478" s="22">
        <v>0</v>
      </c>
      <c r="Q478" s="22">
        <v>0</v>
      </c>
      <c r="R478" s="1" t="s">
        <v>575</v>
      </c>
      <c r="S478" s="135" t="s">
        <v>722</v>
      </c>
      <c r="T478" s="2"/>
      <c r="U478" s="12" t="s">
        <v>571</v>
      </c>
      <c r="Z478" s="9"/>
      <c r="AA478" s="9"/>
      <c r="AB478" s="9"/>
      <c r="AC478" s="143"/>
      <c r="AD478" s="9"/>
    </row>
    <row r="479" spans="1:30">
      <c r="A479" s="4" t="s">
        <v>726</v>
      </c>
      <c r="O479" s="22">
        <v>2</v>
      </c>
      <c r="P479" s="22">
        <v>0</v>
      </c>
      <c r="Q479" s="22">
        <v>0</v>
      </c>
      <c r="R479" s="1" t="s">
        <v>575</v>
      </c>
      <c r="S479" s="135" t="s">
        <v>725</v>
      </c>
      <c r="T479" s="2"/>
      <c r="U479" s="12" t="s">
        <v>572</v>
      </c>
      <c r="Z479" s="9"/>
      <c r="AA479" s="9"/>
      <c r="AB479" s="9"/>
      <c r="AC479" s="143"/>
      <c r="AD479" s="9"/>
    </row>
    <row r="480" spans="1:30">
      <c r="A480" s="4" t="s">
        <v>727</v>
      </c>
      <c r="O480" s="22">
        <v>2</v>
      </c>
      <c r="P480" s="22">
        <v>0</v>
      </c>
      <c r="Q480" s="22">
        <v>0</v>
      </c>
      <c r="R480" s="1" t="s">
        <v>575</v>
      </c>
      <c r="S480" s="135" t="s">
        <v>725</v>
      </c>
      <c r="T480" s="2"/>
      <c r="U480" s="12" t="s">
        <v>566</v>
      </c>
      <c r="Z480" s="9"/>
      <c r="AA480" s="9"/>
      <c r="AB480" s="9"/>
      <c r="AC480" s="143"/>
      <c r="AD480" s="9"/>
    </row>
    <row r="481" spans="1:30">
      <c r="A481" s="4" t="s">
        <v>728</v>
      </c>
      <c r="O481" s="22">
        <v>2</v>
      </c>
      <c r="P481" s="22">
        <v>0</v>
      </c>
      <c r="Q481" s="22">
        <v>0</v>
      </c>
      <c r="R481" s="1" t="s">
        <v>575</v>
      </c>
      <c r="S481" s="135" t="s">
        <v>725</v>
      </c>
      <c r="T481" s="2"/>
      <c r="U481" s="12" t="s">
        <v>571</v>
      </c>
      <c r="Z481" s="9"/>
      <c r="AA481" s="9"/>
      <c r="AB481" s="9"/>
      <c r="AC481" s="143"/>
      <c r="AD481" s="9"/>
    </row>
    <row r="482" spans="1:30">
      <c r="A482" s="4" t="s">
        <v>729</v>
      </c>
      <c r="O482" s="22">
        <v>2</v>
      </c>
      <c r="P482" s="22">
        <v>0</v>
      </c>
      <c r="Q482" s="22">
        <v>0</v>
      </c>
      <c r="R482" s="1" t="s">
        <v>575</v>
      </c>
      <c r="S482" s="135" t="s">
        <v>584</v>
      </c>
      <c r="T482" s="2"/>
      <c r="U482" s="12" t="s">
        <v>572</v>
      </c>
      <c r="Z482" s="9"/>
      <c r="AA482" s="9"/>
      <c r="AB482" s="9"/>
      <c r="AC482" s="143"/>
      <c r="AD482" s="9"/>
    </row>
    <row r="483" spans="1:30">
      <c r="A483" s="4" t="s">
        <v>730</v>
      </c>
      <c r="O483" s="22">
        <v>2</v>
      </c>
      <c r="P483" s="22">
        <v>0</v>
      </c>
      <c r="Q483" s="22">
        <v>0</v>
      </c>
      <c r="R483" s="1" t="s">
        <v>575</v>
      </c>
      <c r="S483" s="135" t="s">
        <v>584</v>
      </c>
      <c r="T483" s="2"/>
      <c r="U483" s="12" t="s">
        <v>566</v>
      </c>
      <c r="Z483" s="9"/>
      <c r="AA483" s="9"/>
      <c r="AB483" s="9"/>
      <c r="AC483" s="143"/>
      <c r="AD483" s="9"/>
    </row>
    <row r="484" spans="1:30">
      <c r="A484" s="4" t="s">
        <v>731</v>
      </c>
      <c r="O484" s="22">
        <v>2</v>
      </c>
      <c r="P484" s="22">
        <v>0</v>
      </c>
      <c r="Q484" s="22">
        <v>0</v>
      </c>
      <c r="R484" s="1" t="s">
        <v>575</v>
      </c>
      <c r="S484" s="135" t="s">
        <v>584</v>
      </c>
      <c r="T484" s="2"/>
      <c r="U484" s="12" t="s">
        <v>571</v>
      </c>
      <c r="Z484" s="9"/>
      <c r="AA484" s="9"/>
      <c r="AB484" s="9"/>
      <c r="AC484" s="143"/>
      <c r="AD484" s="9"/>
    </row>
    <row r="485" spans="1:30">
      <c r="A485" s="4" t="s">
        <v>732</v>
      </c>
      <c r="O485" s="22">
        <v>0</v>
      </c>
      <c r="P485" s="22">
        <v>0</v>
      </c>
      <c r="Q485" s="22">
        <v>2</v>
      </c>
      <c r="R485" s="1" t="s">
        <v>575</v>
      </c>
      <c r="S485" s="135" t="s">
        <v>578</v>
      </c>
      <c r="T485" s="2"/>
      <c r="U485" s="12" t="s">
        <v>572</v>
      </c>
      <c r="Z485" s="9"/>
      <c r="AA485" s="9"/>
      <c r="AB485" s="9"/>
      <c r="AC485" s="143"/>
      <c r="AD485" s="9"/>
    </row>
    <row r="486" spans="1:30">
      <c r="A486" s="4" t="s">
        <v>733</v>
      </c>
      <c r="O486" s="22">
        <v>0</v>
      </c>
      <c r="P486" s="22">
        <v>0</v>
      </c>
      <c r="Q486" s="22">
        <v>2</v>
      </c>
      <c r="R486" s="1" t="s">
        <v>575</v>
      </c>
      <c r="S486" s="135" t="s">
        <v>578</v>
      </c>
      <c r="T486" s="2"/>
      <c r="U486" s="12" t="s">
        <v>566</v>
      </c>
      <c r="V486" s="9"/>
      <c r="Z486" s="9"/>
      <c r="AA486" s="9"/>
      <c r="AB486" s="9"/>
      <c r="AC486" s="143"/>
      <c r="AD486" s="9"/>
    </row>
    <row r="487" spans="1:30">
      <c r="A487" s="4" t="s">
        <v>734</v>
      </c>
      <c r="O487" s="22">
        <v>0</v>
      </c>
      <c r="P487" s="22">
        <v>0</v>
      </c>
      <c r="Q487" s="22">
        <v>2</v>
      </c>
      <c r="R487" s="1" t="s">
        <v>575</v>
      </c>
      <c r="S487" s="135" t="s">
        <v>578</v>
      </c>
      <c r="T487" s="2"/>
      <c r="U487" s="12" t="s">
        <v>571</v>
      </c>
      <c r="V487" s="9"/>
      <c r="Z487" s="9"/>
      <c r="AA487" s="9"/>
      <c r="AB487" s="9"/>
      <c r="AC487" s="143"/>
      <c r="AD487" s="9"/>
    </row>
    <row r="488" spans="1:30">
      <c r="A488" s="4" t="s">
        <v>735</v>
      </c>
      <c r="O488" s="22">
        <v>0</v>
      </c>
      <c r="P488" s="22">
        <v>0</v>
      </c>
      <c r="Q488" s="22">
        <v>2</v>
      </c>
      <c r="R488" s="1" t="s">
        <v>575</v>
      </c>
      <c r="S488" s="135" t="s">
        <v>593</v>
      </c>
      <c r="T488" s="2"/>
      <c r="U488" s="12" t="s">
        <v>572</v>
      </c>
      <c r="V488" s="9"/>
      <c r="Z488" s="9"/>
      <c r="AA488" s="9"/>
      <c r="AB488" s="9"/>
      <c r="AC488" s="143"/>
      <c r="AD488" s="9"/>
    </row>
    <row r="489" spans="1:30">
      <c r="A489" s="4" t="s">
        <v>736</v>
      </c>
      <c r="O489" s="22">
        <v>0</v>
      </c>
      <c r="P489" s="22">
        <v>0</v>
      </c>
      <c r="Q489" s="22">
        <v>2</v>
      </c>
      <c r="R489" s="1" t="s">
        <v>575</v>
      </c>
      <c r="S489" s="135" t="s">
        <v>593</v>
      </c>
      <c r="T489" s="2"/>
      <c r="U489" s="12" t="s">
        <v>566</v>
      </c>
      <c r="V489" s="9"/>
      <c r="Z489" s="9"/>
      <c r="AA489" s="9"/>
      <c r="AB489" s="9"/>
      <c r="AC489" s="143"/>
      <c r="AD489" s="9"/>
    </row>
    <row r="490" spans="1:30">
      <c r="A490" s="4" t="s">
        <v>737</v>
      </c>
      <c r="O490" s="22">
        <v>0</v>
      </c>
      <c r="P490" s="22">
        <v>0</v>
      </c>
      <c r="Q490" s="22">
        <v>2</v>
      </c>
      <c r="R490" s="1" t="s">
        <v>575</v>
      </c>
      <c r="S490" s="135" t="s">
        <v>593</v>
      </c>
      <c r="T490" s="2"/>
      <c r="U490" s="12" t="s">
        <v>571</v>
      </c>
      <c r="V490" s="9"/>
      <c r="Z490" s="9"/>
      <c r="AA490" s="9"/>
      <c r="AB490" s="9"/>
      <c r="AC490" s="143"/>
      <c r="AD490" s="9"/>
    </row>
    <row r="491" spans="1:30">
      <c r="A491" s="4" t="s">
        <v>738</v>
      </c>
      <c r="O491" s="22">
        <v>0</v>
      </c>
      <c r="P491" s="22">
        <v>0</v>
      </c>
      <c r="Q491" s="22">
        <v>2</v>
      </c>
      <c r="R491" s="1" t="s">
        <v>575</v>
      </c>
      <c r="S491" s="135" t="s">
        <v>585</v>
      </c>
      <c r="T491" s="2"/>
      <c r="U491" s="12" t="s">
        <v>572</v>
      </c>
      <c r="V491" s="9"/>
      <c r="Z491" s="9"/>
      <c r="AA491" s="9"/>
      <c r="AB491" s="9"/>
      <c r="AC491" s="143"/>
      <c r="AD491" s="9"/>
    </row>
    <row r="492" spans="1:30">
      <c r="A492" s="4" t="s">
        <v>739</v>
      </c>
      <c r="O492" s="22">
        <v>0</v>
      </c>
      <c r="P492" s="22">
        <v>0</v>
      </c>
      <c r="Q492" s="22">
        <v>2</v>
      </c>
      <c r="R492" s="1" t="s">
        <v>575</v>
      </c>
      <c r="S492" s="135" t="s">
        <v>585</v>
      </c>
      <c r="T492" s="2"/>
      <c r="U492" s="12" t="s">
        <v>566</v>
      </c>
      <c r="V492" s="9"/>
      <c r="Z492" s="9"/>
      <c r="AA492" s="9"/>
      <c r="AB492" s="9"/>
      <c r="AC492" s="143"/>
      <c r="AD492" s="9"/>
    </row>
    <row r="493" spans="1:30">
      <c r="A493" s="4" t="s">
        <v>740</v>
      </c>
      <c r="O493" s="22">
        <v>0</v>
      </c>
      <c r="P493" s="22">
        <v>0</v>
      </c>
      <c r="Q493" s="22">
        <v>2</v>
      </c>
      <c r="R493" s="1" t="s">
        <v>575</v>
      </c>
      <c r="S493" s="135" t="s">
        <v>585</v>
      </c>
      <c r="T493" s="2"/>
      <c r="U493" s="12" t="s">
        <v>571</v>
      </c>
      <c r="V493" s="9"/>
      <c r="Z493" s="9"/>
      <c r="AA493" s="9"/>
      <c r="AB493" s="9"/>
      <c r="AC493" s="143"/>
      <c r="AD493" s="9"/>
    </row>
    <row r="494" spans="1:30">
      <c r="A494" s="4" t="s">
        <v>741</v>
      </c>
      <c r="O494" s="22">
        <v>0</v>
      </c>
      <c r="P494" s="22">
        <v>2</v>
      </c>
      <c r="Q494" s="22">
        <v>0</v>
      </c>
      <c r="R494" s="1" t="s">
        <v>575</v>
      </c>
      <c r="S494" s="135" t="s">
        <v>742</v>
      </c>
      <c r="T494" s="2"/>
      <c r="U494" s="12" t="s">
        <v>572</v>
      </c>
      <c r="V494" s="9"/>
      <c r="Z494" s="9"/>
      <c r="AA494" s="9"/>
      <c r="AB494" s="9"/>
      <c r="AC494" s="143"/>
      <c r="AD494" s="9"/>
    </row>
    <row r="495" spans="1:30">
      <c r="A495" s="4" t="s">
        <v>743</v>
      </c>
      <c r="O495" s="22">
        <v>0</v>
      </c>
      <c r="P495" s="22">
        <v>2</v>
      </c>
      <c r="Q495" s="22">
        <v>0</v>
      </c>
      <c r="R495" s="1" t="s">
        <v>575</v>
      </c>
      <c r="S495" s="135" t="s">
        <v>742</v>
      </c>
      <c r="T495" s="2"/>
      <c r="U495" s="12" t="s">
        <v>566</v>
      </c>
      <c r="V495" s="9"/>
      <c r="Z495" s="9"/>
      <c r="AA495" s="9"/>
      <c r="AB495" s="9"/>
      <c r="AC495" s="143"/>
      <c r="AD495" s="9"/>
    </row>
    <row r="496" spans="1:30">
      <c r="A496" s="4" t="s">
        <v>744</v>
      </c>
      <c r="O496" s="22">
        <v>0</v>
      </c>
      <c r="P496" s="22">
        <v>2</v>
      </c>
      <c r="Q496" s="22">
        <v>0</v>
      </c>
      <c r="R496" s="1" t="s">
        <v>575</v>
      </c>
      <c r="S496" s="135" t="s">
        <v>742</v>
      </c>
      <c r="T496" s="2"/>
      <c r="U496" s="12" t="s">
        <v>571</v>
      </c>
      <c r="V496" s="9"/>
      <c r="Z496" s="9"/>
      <c r="AA496" s="9"/>
      <c r="AB496" s="9"/>
      <c r="AC496" s="143"/>
      <c r="AD496" s="9"/>
    </row>
    <row r="497" spans="1:30">
      <c r="A497" s="4" t="s">
        <v>745</v>
      </c>
      <c r="O497" s="22">
        <v>0</v>
      </c>
      <c r="P497" s="22">
        <v>2</v>
      </c>
      <c r="Q497" s="22">
        <v>0</v>
      </c>
      <c r="R497" s="1" t="s">
        <v>575</v>
      </c>
      <c r="S497" s="135" t="s">
        <v>746</v>
      </c>
      <c r="T497" s="2"/>
      <c r="U497" s="12" t="s">
        <v>572</v>
      </c>
      <c r="V497" s="9"/>
      <c r="Z497" s="9"/>
      <c r="AA497" s="9"/>
      <c r="AB497" s="9"/>
      <c r="AC497" s="143"/>
      <c r="AD497" s="9"/>
    </row>
    <row r="498" spans="1:30">
      <c r="A498" s="4" t="s">
        <v>748</v>
      </c>
      <c r="O498" s="22">
        <v>0</v>
      </c>
      <c r="P498" s="22">
        <v>2</v>
      </c>
      <c r="Q498" s="22">
        <v>0</v>
      </c>
      <c r="R498" s="1" t="s">
        <v>575</v>
      </c>
      <c r="S498" s="135" t="s">
        <v>746</v>
      </c>
      <c r="T498" s="2"/>
      <c r="U498" s="12" t="s">
        <v>566</v>
      </c>
      <c r="V498" s="9"/>
      <c r="Z498" s="9"/>
      <c r="AA498" s="9"/>
      <c r="AB498" s="9"/>
      <c r="AC498" s="143"/>
      <c r="AD498" s="9"/>
    </row>
    <row r="499" spans="1:30">
      <c r="A499" s="4" t="s">
        <v>749</v>
      </c>
      <c r="O499" s="22">
        <v>0</v>
      </c>
      <c r="P499" s="22">
        <v>2</v>
      </c>
      <c r="Q499" s="22">
        <v>0</v>
      </c>
      <c r="R499" s="1" t="s">
        <v>575</v>
      </c>
      <c r="S499" s="135" t="s">
        <v>746</v>
      </c>
      <c r="T499" s="2"/>
      <c r="U499" s="12" t="s">
        <v>571</v>
      </c>
      <c r="V499" s="9"/>
      <c r="Z499" s="9"/>
      <c r="AA499" s="9"/>
      <c r="AB499" s="9"/>
      <c r="AC499" s="143"/>
      <c r="AD499" s="9"/>
    </row>
    <row r="500" spans="1:30">
      <c r="A500" s="4" t="s">
        <v>747</v>
      </c>
      <c r="O500" s="22">
        <v>0</v>
      </c>
      <c r="P500" s="22">
        <v>2</v>
      </c>
      <c r="Q500" s="22">
        <v>0</v>
      </c>
      <c r="R500" s="1" t="s">
        <v>575</v>
      </c>
      <c r="S500" s="135" t="s">
        <v>579</v>
      </c>
      <c r="T500" s="2"/>
      <c r="U500" s="12" t="s">
        <v>572</v>
      </c>
      <c r="V500" s="9"/>
      <c r="Z500" s="9"/>
      <c r="AA500" s="9"/>
      <c r="AB500" s="9"/>
      <c r="AC500" s="143"/>
      <c r="AD500" s="9"/>
    </row>
    <row r="501" spans="1:30">
      <c r="A501" s="4" t="s">
        <v>750</v>
      </c>
      <c r="O501" s="22">
        <v>0</v>
      </c>
      <c r="P501" s="22">
        <v>2</v>
      </c>
      <c r="Q501" s="22">
        <v>0</v>
      </c>
      <c r="R501" s="1" t="s">
        <v>575</v>
      </c>
      <c r="S501" s="135" t="s">
        <v>579</v>
      </c>
      <c r="T501" s="2"/>
      <c r="U501" s="12" t="s">
        <v>566</v>
      </c>
      <c r="V501" s="9"/>
      <c r="Z501" s="9"/>
      <c r="AA501" s="9"/>
      <c r="AB501" s="9"/>
      <c r="AC501" s="143"/>
      <c r="AD501" s="9"/>
    </row>
    <row r="502" spans="1:30">
      <c r="A502" s="4" t="s">
        <v>751</v>
      </c>
      <c r="O502" s="22">
        <v>0</v>
      </c>
      <c r="P502" s="22">
        <v>2</v>
      </c>
      <c r="Q502" s="22">
        <v>0</v>
      </c>
      <c r="R502" s="1" t="s">
        <v>575</v>
      </c>
      <c r="S502" s="135" t="s">
        <v>579</v>
      </c>
      <c r="T502" s="2"/>
      <c r="U502" s="12" t="s">
        <v>571</v>
      </c>
      <c r="V502" s="9"/>
      <c r="Z502" s="9"/>
      <c r="AA502" s="9"/>
      <c r="AB502" s="9"/>
      <c r="AC502" s="143"/>
      <c r="AD502" s="9"/>
    </row>
    <row r="503" spans="1:30">
      <c r="A503" s="5" t="s">
        <v>763</v>
      </c>
      <c r="O503" s="22">
        <v>3</v>
      </c>
      <c r="P503" s="22">
        <v>0</v>
      </c>
      <c r="Q503" s="22">
        <v>0</v>
      </c>
      <c r="R503" s="1" t="s">
        <v>575</v>
      </c>
      <c r="S503" s="135" t="s">
        <v>766</v>
      </c>
      <c r="T503" s="2"/>
      <c r="U503" s="12" t="s">
        <v>572</v>
      </c>
      <c r="V503" s="9"/>
      <c r="Z503" s="9"/>
      <c r="AA503" s="9"/>
      <c r="AB503" s="9"/>
      <c r="AC503" s="143"/>
      <c r="AD503" s="9"/>
    </row>
    <row r="504" spans="1:30">
      <c r="A504" s="5" t="s">
        <v>764</v>
      </c>
      <c r="O504" s="22">
        <v>3</v>
      </c>
      <c r="P504" s="22">
        <v>0</v>
      </c>
      <c r="Q504" s="22">
        <v>0</v>
      </c>
      <c r="R504" s="1" t="s">
        <v>575</v>
      </c>
      <c r="S504" s="135" t="s">
        <v>766</v>
      </c>
      <c r="T504" s="2"/>
      <c r="U504" s="12" t="s">
        <v>566</v>
      </c>
      <c r="V504" s="9"/>
      <c r="Z504" s="9"/>
      <c r="AA504" s="9"/>
      <c r="AB504" s="9"/>
      <c r="AC504" s="143"/>
      <c r="AD504" s="9"/>
    </row>
    <row r="505" spans="1:30">
      <c r="A505" s="5" t="s">
        <v>765</v>
      </c>
      <c r="O505" s="22">
        <v>3</v>
      </c>
      <c r="P505" s="22">
        <v>0</v>
      </c>
      <c r="Q505" s="22">
        <v>0</v>
      </c>
      <c r="R505" s="1" t="s">
        <v>575</v>
      </c>
      <c r="S505" s="135" t="s">
        <v>766</v>
      </c>
      <c r="T505" s="2"/>
      <c r="U505" s="12" t="s">
        <v>571</v>
      </c>
      <c r="V505" s="9"/>
      <c r="Z505" s="9"/>
      <c r="AA505" s="9"/>
      <c r="AB505" s="9"/>
      <c r="AC505" s="143"/>
      <c r="AD505" s="9"/>
    </row>
    <row r="506" spans="1:30">
      <c r="A506" s="5" t="s">
        <v>814</v>
      </c>
      <c r="O506" s="22">
        <v>3</v>
      </c>
      <c r="P506" s="22">
        <v>0</v>
      </c>
      <c r="Q506" s="22">
        <v>0</v>
      </c>
      <c r="R506" s="1" t="s">
        <v>575</v>
      </c>
      <c r="S506" s="135" t="s">
        <v>778</v>
      </c>
      <c r="T506" s="2"/>
      <c r="U506" s="12" t="s">
        <v>572</v>
      </c>
      <c r="V506" s="9"/>
      <c r="Z506" s="9"/>
      <c r="AA506" s="9"/>
      <c r="AB506" s="9"/>
      <c r="AC506" s="143"/>
      <c r="AD506" s="9"/>
    </row>
    <row r="507" spans="1:30">
      <c r="A507" s="5" t="s">
        <v>815</v>
      </c>
      <c r="O507" s="22">
        <v>3</v>
      </c>
      <c r="P507" s="22">
        <v>0</v>
      </c>
      <c r="Q507" s="22">
        <v>0</v>
      </c>
      <c r="R507" s="1" t="s">
        <v>575</v>
      </c>
      <c r="S507" s="135" t="s">
        <v>778</v>
      </c>
      <c r="T507" s="2"/>
      <c r="U507" s="12" t="s">
        <v>566</v>
      </c>
      <c r="V507" s="9"/>
      <c r="Z507" s="9"/>
      <c r="AA507" s="9"/>
      <c r="AB507" s="9"/>
      <c r="AC507" s="143"/>
      <c r="AD507" s="9"/>
    </row>
    <row r="508" spans="1:30">
      <c r="A508" s="5" t="s">
        <v>816</v>
      </c>
      <c r="O508" s="22">
        <v>3</v>
      </c>
      <c r="P508" s="22">
        <v>0</v>
      </c>
      <c r="Q508" s="22">
        <v>0</v>
      </c>
      <c r="R508" s="1" t="s">
        <v>575</v>
      </c>
      <c r="S508" s="135" t="s">
        <v>778</v>
      </c>
      <c r="T508" s="2"/>
      <c r="U508" s="12" t="s">
        <v>571</v>
      </c>
      <c r="V508" s="9"/>
      <c r="Z508" s="9"/>
      <c r="AA508" s="9"/>
      <c r="AB508" s="9"/>
      <c r="AC508" s="143"/>
      <c r="AD508" s="9"/>
    </row>
    <row r="509" spans="1:30">
      <c r="A509" s="5" t="s">
        <v>775</v>
      </c>
      <c r="O509" s="22">
        <v>3</v>
      </c>
      <c r="P509" s="22">
        <v>0</v>
      </c>
      <c r="Q509" s="22">
        <v>0</v>
      </c>
      <c r="R509" s="1" t="s">
        <v>575</v>
      </c>
      <c r="S509" s="135" t="s">
        <v>779</v>
      </c>
      <c r="T509" s="2"/>
      <c r="U509" s="12" t="s">
        <v>572</v>
      </c>
      <c r="V509" s="9"/>
      <c r="Z509" s="9"/>
      <c r="AA509" s="9"/>
      <c r="AB509" s="9"/>
      <c r="AC509" s="143"/>
      <c r="AD509" s="9"/>
    </row>
    <row r="510" spans="1:30">
      <c r="A510" s="5" t="s">
        <v>776</v>
      </c>
      <c r="O510" s="22">
        <v>3</v>
      </c>
      <c r="P510" s="22">
        <v>0</v>
      </c>
      <c r="Q510" s="22">
        <v>0</v>
      </c>
      <c r="R510" s="1" t="s">
        <v>575</v>
      </c>
      <c r="S510" s="135" t="s">
        <v>779</v>
      </c>
      <c r="T510" s="2"/>
      <c r="U510" s="12" t="s">
        <v>566</v>
      </c>
      <c r="V510" s="9"/>
      <c r="Z510" s="9"/>
      <c r="AA510" s="9"/>
      <c r="AB510" s="9"/>
      <c r="AC510" s="143"/>
      <c r="AD510" s="9"/>
    </row>
    <row r="511" spans="1:30">
      <c r="A511" s="5" t="s">
        <v>777</v>
      </c>
      <c r="O511" s="22">
        <v>3</v>
      </c>
      <c r="P511" s="22">
        <v>0</v>
      </c>
      <c r="Q511" s="22">
        <v>0</v>
      </c>
      <c r="R511" s="1" t="s">
        <v>575</v>
      </c>
      <c r="S511" s="135" t="s">
        <v>779</v>
      </c>
      <c r="T511" s="2"/>
      <c r="U511" s="12" t="s">
        <v>571</v>
      </c>
      <c r="V511" s="9"/>
      <c r="Z511" s="9"/>
      <c r="AA511" s="9"/>
      <c r="AB511" s="9"/>
      <c r="AC511" s="143"/>
      <c r="AD511" s="9"/>
    </row>
    <row r="512" spans="1:30">
      <c r="A512" s="5"/>
      <c r="O512" s="22">
        <v>0</v>
      </c>
      <c r="P512" s="22">
        <v>0</v>
      </c>
      <c r="Q512" s="22">
        <v>3</v>
      </c>
      <c r="R512" s="1" t="s">
        <v>575</v>
      </c>
      <c r="S512" s="135" t="s">
        <v>784</v>
      </c>
      <c r="T512" s="2"/>
      <c r="U512" s="12" t="s">
        <v>572</v>
      </c>
      <c r="V512" s="9"/>
      <c r="Z512" s="9"/>
      <c r="AA512" s="9"/>
      <c r="AB512" s="9"/>
      <c r="AC512" s="143"/>
      <c r="AD512" s="9"/>
    </row>
    <row r="513" spans="1:30">
      <c r="A513" s="5"/>
      <c r="O513" s="22">
        <v>0</v>
      </c>
      <c r="P513" s="22">
        <v>0</v>
      </c>
      <c r="Q513" s="22">
        <v>3</v>
      </c>
      <c r="R513" s="1" t="s">
        <v>575</v>
      </c>
      <c r="S513" s="135" t="s">
        <v>784</v>
      </c>
      <c r="T513" s="2"/>
      <c r="U513" s="12" t="s">
        <v>566</v>
      </c>
      <c r="V513" s="9"/>
      <c r="Z513" s="9"/>
      <c r="AA513" s="9"/>
      <c r="AB513" s="9"/>
      <c r="AC513" s="143"/>
      <c r="AD513" s="9"/>
    </row>
    <row r="514" spans="1:30">
      <c r="A514" s="5"/>
      <c r="O514" s="22">
        <v>0</v>
      </c>
      <c r="P514" s="22">
        <v>0</v>
      </c>
      <c r="Q514" s="22">
        <v>3</v>
      </c>
      <c r="R514" s="1" t="s">
        <v>575</v>
      </c>
      <c r="S514" s="135" t="s">
        <v>784</v>
      </c>
      <c r="T514" s="2"/>
      <c r="U514" s="12" t="s">
        <v>571</v>
      </c>
      <c r="V514" s="9"/>
      <c r="Z514" s="9"/>
      <c r="AA514" s="9"/>
      <c r="AB514" s="9"/>
      <c r="AC514" s="143"/>
      <c r="AD514" s="9"/>
    </row>
    <row r="515" spans="1:30">
      <c r="A515" s="5" t="s">
        <v>795</v>
      </c>
      <c r="O515" s="22">
        <v>0</v>
      </c>
      <c r="P515" s="22">
        <v>0</v>
      </c>
      <c r="Q515" s="22">
        <v>3</v>
      </c>
      <c r="R515" s="1" t="s">
        <v>575</v>
      </c>
      <c r="S515" s="135" t="s">
        <v>785</v>
      </c>
      <c r="T515" s="2"/>
      <c r="U515" s="12" t="s">
        <v>572</v>
      </c>
      <c r="V515" s="9"/>
      <c r="Z515" s="9"/>
      <c r="AA515" s="9"/>
      <c r="AB515" s="9"/>
      <c r="AC515" s="143"/>
      <c r="AD515" s="9"/>
    </row>
    <row r="516" spans="1:30">
      <c r="A516" s="5" t="s">
        <v>796</v>
      </c>
      <c r="O516" s="22">
        <v>0</v>
      </c>
      <c r="P516" s="22">
        <v>0</v>
      </c>
      <c r="Q516" s="22">
        <v>3</v>
      </c>
      <c r="R516" s="1" t="s">
        <v>575</v>
      </c>
      <c r="S516" s="135" t="s">
        <v>785</v>
      </c>
      <c r="T516" s="2"/>
      <c r="U516" s="12" t="s">
        <v>566</v>
      </c>
      <c r="V516" s="9"/>
      <c r="Z516" s="9"/>
      <c r="AA516" s="9"/>
      <c r="AB516" s="9"/>
      <c r="AC516" s="143"/>
      <c r="AD516" s="9"/>
    </row>
    <row r="517" spans="1:30">
      <c r="A517" s="5" t="s">
        <v>797</v>
      </c>
      <c r="O517" s="22">
        <v>0</v>
      </c>
      <c r="P517" s="22">
        <v>0</v>
      </c>
      <c r="Q517" s="22">
        <v>3</v>
      </c>
      <c r="R517" s="1" t="s">
        <v>575</v>
      </c>
      <c r="S517" s="135" t="s">
        <v>785</v>
      </c>
      <c r="T517" s="2"/>
      <c r="U517" s="12" t="s">
        <v>571</v>
      </c>
      <c r="V517" s="9"/>
      <c r="Z517" s="9"/>
      <c r="AA517" s="9"/>
      <c r="AB517" s="9"/>
      <c r="AC517" s="143"/>
      <c r="AD517" s="9"/>
    </row>
    <row r="518" spans="1:30">
      <c r="A518" s="5" t="s">
        <v>806</v>
      </c>
      <c r="O518" s="22">
        <v>0</v>
      </c>
      <c r="P518" s="22">
        <v>0</v>
      </c>
      <c r="Q518" s="22">
        <v>3</v>
      </c>
      <c r="R518" s="1" t="s">
        <v>575</v>
      </c>
      <c r="S518" s="135" t="s">
        <v>786</v>
      </c>
      <c r="T518" s="2"/>
      <c r="U518" s="12" t="s">
        <v>572</v>
      </c>
      <c r="AD518" s="9"/>
    </row>
    <row r="519" spans="1:30">
      <c r="A519" s="5" t="s">
        <v>807</v>
      </c>
      <c r="O519" s="22">
        <v>0</v>
      </c>
      <c r="P519" s="22">
        <v>0</v>
      </c>
      <c r="Q519" s="22">
        <v>3</v>
      </c>
      <c r="R519" s="1" t="s">
        <v>575</v>
      </c>
      <c r="S519" s="135" t="s">
        <v>786</v>
      </c>
      <c r="T519" s="2"/>
      <c r="U519" s="12" t="s">
        <v>566</v>
      </c>
      <c r="AD519" s="9"/>
    </row>
    <row r="520" spans="1:30">
      <c r="A520" s="5" t="s">
        <v>808</v>
      </c>
      <c r="O520" s="22">
        <v>0</v>
      </c>
      <c r="P520" s="22">
        <v>0</v>
      </c>
      <c r="Q520" s="22">
        <v>3</v>
      </c>
      <c r="R520" s="1" t="s">
        <v>575</v>
      </c>
      <c r="S520" s="135" t="s">
        <v>786</v>
      </c>
      <c r="T520" s="2"/>
      <c r="U520" s="12" t="s">
        <v>571</v>
      </c>
      <c r="AD520" s="9"/>
    </row>
    <row r="521" spans="1:30">
      <c r="A521" s="5" t="s">
        <v>792</v>
      </c>
      <c r="O521" s="22">
        <v>0</v>
      </c>
      <c r="P521" s="22">
        <v>3</v>
      </c>
      <c r="Q521" s="22">
        <v>0</v>
      </c>
      <c r="R521" s="1" t="s">
        <v>575</v>
      </c>
      <c r="S521" s="135" t="s">
        <v>787</v>
      </c>
      <c r="T521" s="2"/>
      <c r="U521" s="12" t="s">
        <v>572</v>
      </c>
      <c r="AD521" s="9"/>
    </row>
    <row r="522" spans="1:30">
      <c r="A522" s="5" t="s">
        <v>793</v>
      </c>
      <c r="O522" s="22">
        <v>0</v>
      </c>
      <c r="P522" s="22">
        <v>3</v>
      </c>
      <c r="Q522" s="22">
        <v>0</v>
      </c>
      <c r="R522" s="1" t="s">
        <v>575</v>
      </c>
      <c r="S522" s="135" t="s">
        <v>787</v>
      </c>
      <c r="T522" s="2"/>
      <c r="U522" s="12" t="s">
        <v>566</v>
      </c>
      <c r="AD522" s="9"/>
    </row>
    <row r="523" spans="1:30">
      <c r="A523" s="5" t="s">
        <v>794</v>
      </c>
      <c r="O523" s="22">
        <v>0</v>
      </c>
      <c r="P523" s="22">
        <v>3</v>
      </c>
      <c r="Q523" s="22">
        <v>0</v>
      </c>
      <c r="R523" s="1" t="s">
        <v>575</v>
      </c>
      <c r="S523" s="135" t="s">
        <v>787</v>
      </c>
      <c r="T523" s="2"/>
      <c r="U523" s="12" t="s">
        <v>571</v>
      </c>
      <c r="AD523" s="9"/>
    </row>
    <row r="524" spans="1:30">
      <c r="A524" s="5" t="s">
        <v>789</v>
      </c>
      <c r="O524" s="22">
        <v>0</v>
      </c>
      <c r="P524" s="22">
        <v>3</v>
      </c>
      <c r="Q524" s="22">
        <v>0</v>
      </c>
      <c r="R524" s="1" t="s">
        <v>575</v>
      </c>
      <c r="S524" s="135" t="s">
        <v>960</v>
      </c>
      <c r="T524" s="2"/>
      <c r="U524" s="12" t="s">
        <v>572</v>
      </c>
      <c r="AD524" s="9"/>
    </row>
    <row r="525" spans="1:30">
      <c r="A525" s="5" t="s">
        <v>790</v>
      </c>
      <c r="O525" s="22">
        <v>0</v>
      </c>
      <c r="P525" s="22">
        <v>3</v>
      </c>
      <c r="Q525" s="22">
        <v>0</v>
      </c>
      <c r="R525" s="1" t="s">
        <v>575</v>
      </c>
      <c r="S525" s="135" t="s">
        <v>960</v>
      </c>
      <c r="T525" s="2"/>
      <c r="U525" s="12" t="s">
        <v>566</v>
      </c>
      <c r="AD525" s="9"/>
    </row>
    <row r="526" spans="1:30">
      <c r="A526" s="5" t="s">
        <v>791</v>
      </c>
      <c r="O526" s="22">
        <v>0</v>
      </c>
      <c r="P526" s="22">
        <v>3</v>
      </c>
      <c r="Q526" s="22">
        <v>0</v>
      </c>
      <c r="R526" s="1" t="s">
        <v>575</v>
      </c>
      <c r="S526" s="135" t="s">
        <v>960</v>
      </c>
      <c r="T526" s="2"/>
      <c r="U526" s="12" t="s">
        <v>571</v>
      </c>
      <c r="AC526" s="78">
        <f t="shared" ref="AC526" si="15">AB526-Z526</f>
        <v>0</v>
      </c>
      <c r="AD526" s="9"/>
    </row>
    <row r="527" spans="1:30">
      <c r="A527" s="5"/>
      <c r="O527" s="22">
        <v>0</v>
      </c>
      <c r="P527" s="22">
        <v>3</v>
      </c>
      <c r="Q527" s="22">
        <v>0</v>
      </c>
      <c r="R527" s="1" t="s">
        <v>575</v>
      </c>
      <c r="S527" s="135" t="s">
        <v>788</v>
      </c>
      <c r="T527" s="2"/>
      <c r="U527" s="12" t="s">
        <v>572</v>
      </c>
      <c r="AD527" s="9"/>
    </row>
    <row r="528" spans="1:30">
      <c r="A528" s="5"/>
      <c r="O528" s="22">
        <v>0</v>
      </c>
      <c r="P528" s="22">
        <v>3</v>
      </c>
      <c r="Q528" s="22">
        <v>0</v>
      </c>
      <c r="R528" s="1" t="s">
        <v>575</v>
      </c>
      <c r="S528" s="135" t="s">
        <v>788</v>
      </c>
      <c r="T528" s="2"/>
      <c r="U528" s="12" t="s">
        <v>566</v>
      </c>
      <c r="AD528" s="9"/>
    </row>
    <row r="529" spans="1:30">
      <c r="A529" s="5"/>
      <c r="O529" s="22">
        <v>0</v>
      </c>
      <c r="P529" s="22">
        <v>3</v>
      </c>
      <c r="Q529" s="22">
        <v>0</v>
      </c>
      <c r="R529" s="1" t="s">
        <v>575</v>
      </c>
      <c r="S529" s="135" t="s">
        <v>788</v>
      </c>
      <c r="T529" s="2"/>
      <c r="U529" s="12" t="s">
        <v>571</v>
      </c>
      <c r="AD529" s="9"/>
    </row>
    <row r="530" spans="1:30">
      <c r="A530" s="5" t="s">
        <v>799</v>
      </c>
      <c r="O530" s="22">
        <v>25</v>
      </c>
      <c r="P530" s="22">
        <v>0</v>
      </c>
      <c r="Q530" s="22">
        <v>0</v>
      </c>
      <c r="R530" s="1" t="s">
        <v>575</v>
      </c>
      <c r="AD530" s="9"/>
    </row>
    <row r="531" spans="1:30">
      <c r="A531" s="5" t="s">
        <v>800</v>
      </c>
      <c r="O531" s="22">
        <v>0</v>
      </c>
      <c r="P531" s="22">
        <v>25</v>
      </c>
      <c r="Q531" s="22">
        <v>0</v>
      </c>
      <c r="R531" s="1" t="s">
        <v>575</v>
      </c>
      <c r="AD531" s="9"/>
    </row>
    <row r="532" spans="1:30">
      <c r="A532" s="5" t="s">
        <v>801</v>
      </c>
      <c r="O532" s="22">
        <v>0</v>
      </c>
      <c r="P532" s="22">
        <v>0</v>
      </c>
      <c r="Q532" s="22">
        <v>25</v>
      </c>
      <c r="R532" s="1" t="s">
        <v>575</v>
      </c>
      <c r="Z532" s="22">
        <v>30</v>
      </c>
      <c r="AD532" s="9"/>
    </row>
    <row r="533" spans="1:30">
      <c r="A533" s="5" t="s">
        <v>810</v>
      </c>
      <c r="O533" s="22">
        <v>0</v>
      </c>
      <c r="P533" s="22">
        <v>0</v>
      </c>
      <c r="Q533" s="22">
        <v>0</v>
      </c>
      <c r="R533" s="1" t="s">
        <v>575</v>
      </c>
      <c r="S533" s="133" t="s">
        <v>811</v>
      </c>
      <c r="U533" s="1" t="s">
        <v>571</v>
      </c>
      <c r="Z533" s="22">
        <v>30</v>
      </c>
      <c r="AC533" s="78">
        <f t="shared" ref="AC533" si="16">AB533-Z533</f>
        <v>-30</v>
      </c>
      <c r="AD533" s="9"/>
    </row>
    <row r="534" spans="1:30">
      <c r="A534" s="5" t="s">
        <v>535</v>
      </c>
      <c r="O534" s="22">
        <v>10</v>
      </c>
      <c r="P534" s="22">
        <v>10</v>
      </c>
      <c r="Q534" s="22">
        <v>10</v>
      </c>
      <c r="R534" s="1" t="s">
        <v>575</v>
      </c>
      <c r="S534" s="133" t="s">
        <v>802</v>
      </c>
      <c r="U534" s="1" t="s">
        <v>566</v>
      </c>
    </row>
    <row r="535" spans="1:30">
      <c r="A535" s="5" t="s">
        <v>809</v>
      </c>
      <c r="O535" s="22">
        <v>15</v>
      </c>
      <c r="P535" s="22">
        <v>5</v>
      </c>
      <c r="Q535" s="22">
        <v>5</v>
      </c>
      <c r="R535" s="1" t="s">
        <v>575</v>
      </c>
    </row>
    <row r="542" spans="1:30">
      <c r="A542" s="3" t="s">
        <v>882</v>
      </c>
    </row>
    <row r="544" spans="1:30" s="44" customFormat="1">
      <c r="A544" s="115" t="s">
        <v>885</v>
      </c>
      <c r="F544" s="45"/>
      <c r="N544" s="45"/>
      <c r="O544" s="43">
        <v>1</v>
      </c>
      <c r="P544" s="43">
        <v>0</v>
      </c>
      <c r="Q544" s="43">
        <v>0</v>
      </c>
      <c r="R544" s="45" t="s">
        <v>1092</v>
      </c>
      <c r="S544" s="140">
        <v>0.02</v>
      </c>
      <c r="T544" s="44" t="s">
        <v>621</v>
      </c>
      <c r="U544" s="45" t="s">
        <v>572</v>
      </c>
      <c r="V544" s="140"/>
      <c r="X544" s="45"/>
      <c r="Z544" s="43"/>
      <c r="AA544" s="43"/>
      <c r="AB544" s="43"/>
      <c r="AC544" s="130"/>
      <c r="AD544" s="43"/>
    </row>
    <row r="545" spans="1:30">
      <c r="A545" s="4" t="s">
        <v>887</v>
      </c>
      <c r="O545" s="22">
        <v>1</v>
      </c>
      <c r="P545" s="22">
        <v>0</v>
      </c>
      <c r="Q545" s="22">
        <v>0</v>
      </c>
      <c r="R545" s="1" t="s">
        <v>1092</v>
      </c>
      <c r="S545" s="133">
        <v>0.02</v>
      </c>
      <c r="T545" s="9" t="s">
        <v>622</v>
      </c>
      <c r="U545" s="1" t="s">
        <v>572</v>
      </c>
    </row>
    <row r="546" spans="1:30">
      <c r="A546" s="4" t="s">
        <v>915</v>
      </c>
      <c r="O546" s="22">
        <v>1</v>
      </c>
      <c r="P546" s="22">
        <v>0</v>
      </c>
      <c r="Q546" s="22">
        <v>0</v>
      </c>
      <c r="R546" s="1" t="s">
        <v>1092</v>
      </c>
      <c r="S546" s="133">
        <v>0.02</v>
      </c>
      <c r="T546" s="9" t="s">
        <v>623</v>
      </c>
      <c r="U546" s="1" t="s">
        <v>572</v>
      </c>
    </row>
    <row r="547" spans="1:30">
      <c r="A547" s="4" t="s">
        <v>898</v>
      </c>
      <c r="O547" s="22">
        <v>0</v>
      </c>
      <c r="P547" s="22">
        <v>1</v>
      </c>
      <c r="Q547" s="22">
        <v>0</v>
      </c>
      <c r="R547" s="1" t="s">
        <v>1092</v>
      </c>
      <c r="S547" s="133">
        <v>0.02</v>
      </c>
      <c r="T547" s="2" t="s">
        <v>625</v>
      </c>
      <c r="U547" s="1" t="s">
        <v>572</v>
      </c>
      <c r="W547" s="2"/>
    </row>
    <row r="548" spans="1:30">
      <c r="A548" s="4" t="s">
        <v>914</v>
      </c>
      <c r="O548" s="22">
        <v>0</v>
      </c>
      <c r="P548" s="22">
        <v>1</v>
      </c>
      <c r="Q548" s="22">
        <v>0</v>
      </c>
      <c r="R548" s="1" t="s">
        <v>1092</v>
      </c>
      <c r="S548" s="135">
        <v>0.02</v>
      </c>
      <c r="T548" s="2" t="s">
        <v>624</v>
      </c>
      <c r="U548" s="1" t="s">
        <v>572</v>
      </c>
    </row>
    <row r="549" spans="1:30">
      <c r="A549" s="4" t="s">
        <v>889</v>
      </c>
      <c r="O549" s="22">
        <v>0</v>
      </c>
      <c r="P549" s="22">
        <v>1</v>
      </c>
      <c r="Q549" s="22">
        <v>0</v>
      </c>
      <c r="R549" s="1" t="s">
        <v>1092</v>
      </c>
      <c r="S549" s="135">
        <v>0.02</v>
      </c>
      <c r="T549" s="2" t="s">
        <v>628</v>
      </c>
      <c r="U549" s="1" t="s">
        <v>572</v>
      </c>
    </row>
    <row r="550" spans="1:30">
      <c r="A550" s="4" t="s">
        <v>895</v>
      </c>
      <c r="O550" s="22">
        <v>0</v>
      </c>
      <c r="P550" s="22">
        <v>0</v>
      </c>
      <c r="Q550" s="22">
        <v>1</v>
      </c>
      <c r="R550" s="1" t="s">
        <v>1092</v>
      </c>
      <c r="S550" s="133">
        <v>0.02</v>
      </c>
      <c r="T550" s="2" t="s">
        <v>627</v>
      </c>
      <c r="U550" s="1" t="s">
        <v>572</v>
      </c>
    </row>
    <row r="551" spans="1:30">
      <c r="A551" s="4" t="s">
        <v>883</v>
      </c>
      <c r="O551" s="22">
        <v>0</v>
      </c>
      <c r="P551" s="22">
        <v>0</v>
      </c>
      <c r="Q551" s="22">
        <v>1</v>
      </c>
      <c r="R551" s="1" t="s">
        <v>1092</v>
      </c>
      <c r="S551" s="135">
        <v>0.02</v>
      </c>
      <c r="T551" s="2" t="s">
        <v>629</v>
      </c>
      <c r="U551" s="1" t="s">
        <v>572</v>
      </c>
    </row>
    <row r="552" spans="1:30">
      <c r="A552" s="4" t="s">
        <v>888</v>
      </c>
      <c r="O552" s="22">
        <v>0</v>
      </c>
      <c r="P552" s="22">
        <v>0</v>
      </c>
      <c r="Q552" s="22">
        <v>1</v>
      </c>
      <c r="R552" s="1" t="s">
        <v>1092</v>
      </c>
      <c r="S552" s="135">
        <v>0.02</v>
      </c>
      <c r="T552" s="2" t="s">
        <v>626</v>
      </c>
      <c r="U552" s="1" t="s">
        <v>572</v>
      </c>
    </row>
    <row r="553" spans="1:30" s="44" customFormat="1">
      <c r="A553" s="115" t="s">
        <v>901</v>
      </c>
      <c r="F553" s="45"/>
      <c r="N553" s="45"/>
      <c r="O553" s="43">
        <v>2</v>
      </c>
      <c r="P553" s="43">
        <v>0</v>
      </c>
      <c r="Q553" s="43">
        <v>0</v>
      </c>
      <c r="R553" s="45" t="s">
        <v>567</v>
      </c>
      <c r="S553" s="141"/>
      <c r="T553" s="53"/>
      <c r="U553" s="45"/>
      <c r="V553" s="140"/>
      <c r="X553" s="45"/>
      <c r="Z553" s="43"/>
      <c r="AA553" s="43"/>
      <c r="AB553" s="43"/>
      <c r="AC553" s="130"/>
      <c r="AD553" s="43"/>
    </row>
    <row r="554" spans="1:30">
      <c r="A554" s="4" t="s">
        <v>904</v>
      </c>
      <c r="O554" s="22">
        <v>2</v>
      </c>
      <c r="P554" s="22">
        <v>0</v>
      </c>
      <c r="Q554" s="22">
        <v>0</v>
      </c>
      <c r="R554" s="1" t="s">
        <v>567</v>
      </c>
      <c r="S554" s="135"/>
      <c r="T554" s="2"/>
    </row>
    <row r="555" spans="1:30">
      <c r="A555" s="4" t="s">
        <v>886</v>
      </c>
      <c r="O555" s="22">
        <v>2</v>
      </c>
      <c r="P555" s="22">
        <v>0</v>
      </c>
      <c r="Q555" s="22">
        <v>0</v>
      </c>
      <c r="R555" s="1" t="s">
        <v>1092</v>
      </c>
      <c r="T555" s="2"/>
    </row>
    <row r="556" spans="1:30">
      <c r="A556" s="4" t="s">
        <v>907</v>
      </c>
      <c r="O556" s="22">
        <v>0</v>
      </c>
      <c r="P556" s="22">
        <v>2</v>
      </c>
      <c r="Q556" s="22">
        <v>0</v>
      </c>
      <c r="R556" s="1" t="s">
        <v>567</v>
      </c>
      <c r="T556" s="2"/>
    </row>
    <row r="557" spans="1:30">
      <c r="A557" s="4" t="s">
        <v>905</v>
      </c>
      <c r="O557" s="22">
        <v>0</v>
      </c>
      <c r="P557" s="22">
        <v>2</v>
      </c>
      <c r="Q557" s="22">
        <v>0</v>
      </c>
      <c r="R557" s="1" t="s">
        <v>567</v>
      </c>
      <c r="T557" s="2"/>
    </row>
    <row r="558" spans="1:30">
      <c r="A558" s="4" t="s">
        <v>891</v>
      </c>
      <c r="O558" s="22">
        <v>0</v>
      </c>
      <c r="P558" s="22">
        <v>2</v>
      </c>
      <c r="Q558" s="22">
        <v>0</v>
      </c>
      <c r="R558" s="1" t="s">
        <v>1092</v>
      </c>
      <c r="T558" s="2"/>
    </row>
    <row r="559" spans="1:30">
      <c r="A559" s="4" t="s">
        <v>902</v>
      </c>
      <c r="O559" s="22">
        <v>0</v>
      </c>
      <c r="P559" s="22">
        <v>0</v>
      </c>
      <c r="Q559" s="22">
        <v>2</v>
      </c>
      <c r="R559" s="1" t="s">
        <v>567</v>
      </c>
      <c r="T559" s="2"/>
    </row>
    <row r="560" spans="1:30">
      <c r="A560" s="4" t="s">
        <v>903</v>
      </c>
      <c r="O560" s="22">
        <v>0</v>
      </c>
      <c r="P560" s="22">
        <v>0</v>
      </c>
      <c r="Q560" s="22">
        <v>2</v>
      </c>
      <c r="R560" s="1" t="s">
        <v>567</v>
      </c>
      <c r="T560" s="2"/>
    </row>
    <row r="561" spans="1:30">
      <c r="A561" s="4" t="s">
        <v>913</v>
      </c>
      <c r="O561" s="22">
        <v>0</v>
      </c>
      <c r="P561" s="22">
        <v>0</v>
      </c>
      <c r="Q561" s="22">
        <v>2</v>
      </c>
      <c r="R561" s="1" t="s">
        <v>1092</v>
      </c>
      <c r="T561" s="2"/>
    </row>
    <row r="562" spans="1:30" s="44" customFormat="1">
      <c r="A562" s="115" t="s">
        <v>900</v>
      </c>
      <c r="F562" s="45"/>
      <c r="N562" s="45"/>
      <c r="O562" s="43">
        <v>4</v>
      </c>
      <c r="P562" s="43">
        <v>0</v>
      </c>
      <c r="Q562" s="43">
        <v>0</v>
      </c>
      <c r="R562" s="45" t="s">
        <v>567</v>
      </c>
      <c r="S562" s="140"/>
      <c r="U562" s="45"/>
      <c r="V562" s="140"/>
      <c r="X562" s="45"/>
      <c r="Z562" s="43"/>
      <c r="AA562" s="43"/>
      <c r="AB562" s="43"/>
      <c r="AC562" s="130"/>
      <c r="AD562" s="43"/>
    </row>
    <row r="563" spans="1:30">
      <c r="A563" s="4" t="s">
        <v>918</v>
      </c>
      <c r="O563" s="22">
        <v>4</v>
      </c>
      <c r="P563" s="22">
        <v>0</v>
      </c>
      <c r="Q563" s="22">
        <v>0</v>
      </c>
      <c r="R563" s="1" t="s">
        <v>1092</v>
      </c>
    </row>
    <row r="564" spans="1:30">
      <c r="A564" s="4" t="s">
        <v>919</v>
      </c>
      <c r="O564" s="22">
        <v>0</v>
      </c>
      <c r="P564" s="22">
        <v>4</v>
      </c>
      <c r="Q564" s="22">
        <v>0</v>
      </c>
      <c r="R564" s="1" t="s">
        <v>567</v>
      </c>
    </row>
    <row r="565" spans="1:30">
      <c r="A565" s="4" t="s">
        <v>910</v>
      </c>
      <c r="O565" s="22">
        <v>0</v>
      </c>
      <c r="P565" s="22">
        <v>4</v>
      </c>
      <c r="Q565" s="22">
        <v>0</v>
      </c>
      <c r="R565" s="1" t="s">
        <v>1092</v>
      </c>
    </row>
    <row r="566" spans="1:30">
      <c r="A566" s="4" t="s">
        <v>920</v>
      </c>
      <c r="O566" s="22">
        <v>0</v>
      </c>
      <c r="P566" s="22">
        <v>0</v>
      </c>
      <c r="Q566" s="22">
        <v>4</v>
      </c>
      <c r="R566" s="1" t="s">
        <v>567</v>
      </c>
      <c r="T566" s="2"/>
    </row>
    <row r="567" spans="1:30">
      <c r="A567" s="4" t="s">
        <v>896</v>
      </c>
      <c r="O567" s="22">
        <v>0</v>
      </c>
      <c r="P567" s="22">
        <v>0</v>
      </c>
      <c r="Q567" s="22">
        <v>4</v>
      </c>
      <c r="R567" s="1" t="s">
        <v>1092</v>
      </c>
      <c r="T567" s="2"/>
    </row>
    <row r="568" spans="1:30" s="44" customFormat="1">
      <c r="A568" s="115" t="s">
        <v>923</v>
      </c>
      <c r="F568" s="45"/>
      <c r="N568" s="45"/>
      <c r="O568" s="43">
        <v>5</v>
      </c>
      <c r="P568" s="43">
        <v>0</v>
      </c>
      <c r="Q568" s="43">
        <v>0</v>
      </c>
      <c r="R568" s="45" t="s">
        <v>1092</v>
      </c>
      <c r="S568" s="140"/>
      <c r="U568" s="45"/>
      <c r="V568" s="140"/>
      <c r="X568" s="45"/>
      <c r="Z568" s="43"/>
      <c r="AA568" s="43"/>
      <c r="AB568" s="43"/>
      <c r="AC568" s="130"/>
      <c r="AD568" s="43"/>
    </row>
    <row r="569" spans="1:30">
      <c r="A569" s="4" t="s">
        <v>921</v>
      </c>
      <c r="O569" s="22">
        <v>5</v>
      </c>
      <c r="P569" s="22">
        <v>0</v>
      </c>
      <c r="Q569" s="22">
        <v>0</v>
      </c>
      <c r="R569" s="1" t="s">
        <v>567</v>
      </c>
    </row>
    <row r="570" spans="1:30">
      <c r="A570" s="4" t="s">
        <v>894</v>
      </c>
      <c r="O570" s="22">
        <v>0</v>
      </c>
      <c r="P570" s="22">
        <v>5</v>
      </c>
      <c r="Q570" s="22">
        <v>0</v>
      </c>
      <c r="R570" s="1" t="s">
        <v>1092</v>
      </c>
    </row>
    <row r="571" spans="1:30">
      <c r="A571" s="4" t="s">
        <v>917</v>
      </c>
      <c r="O571" s="22">
        <v>0</v>
      </c>
      <c r="P571" s="22">
        <v>5</v>
      </c>
      <c r="Q571" s="22">
        <v>0</v>
      </c>
      <c r="R571" s="1" t="s">
        <v>567</v>
      </c>
    </row>
    <row r="572" spans="1:30">
      <c r="A572" s="4" t="s">
        <v>892</v>
      </c>
      <c r="O572" s="22">
        <v>0</v>
      </c>
      <c r="P572" s="22">
        <v>0</v>
      </c>
      <c r="Q572" s="22">
        <v>5</v>
      </c>
      <c r="R572" s="1" t="s">
        <v>1092</v>
      </c>
      <c r="T572" s="2"/>
    </row>
    <row r="573" spans="1:30">
      <c r="A573" s="4" t="s">
        <v>922</v>
      </c>
      <c r="O573" s="22">
        <v>0</v>
      </c>
      <c r="P573" s="22">
        <v>0</v>
      </c>
      <c r="Q573" s="22">
        <v>5</v>
      </c>
      <c r="R573" s="1" t="s">
        <v>567</v>
      </c>
      <c r="T573" s="2"/>
    </row>
    <row r="574" spans="1:30" s="44" customFormat="1">
      <c r="A574" s="116" t="s">
        <v>924</v>
      </c>
      <c r="F574" s="45"/>
      <c r="N574" s="45"/>
      <c r="O574" s="43">
        <v>5</v>
      </c>
      <c r="P574" s="43">
        <v>5</v>
      </c>
      <c r="Q574" s="43">
        <v>5</v>
      </c>
      <c r="R574" s="45" t="s">
        <v>1092</v>
      </c>
      <c r="S574" s="140">
        <v>0.1</v>
      </c>
      <c r="T574" s="44" t="s">
        <v>621</v>
      </c>
      <c r="U574" s="45" t="s">
        <v>572</v>
      </c>
      <c r="V574" s="140"/>
      <c r="X574" s="45"/>
      <c r="Z574" s="43"/>
      <c r="AA574" s="43"/>
      <c r="AB574" s="43"/>
      <c r="AC574" s="130"/>
      <c r="AD574" s="43"/>
    </row>
    <row r="575" spans="1:30">
      <c r="A575" s="6" t="s">
        <v>893</v>
      </c>
      <c r="O575" s="22">
        <v>5</v>
      </c>
      <c r="P575" s="22">
        <v>5</v>
      </c>
      <c r="Q575" s="22">
        <v>5</v>
      </c>
      <c r="R575" s="1" t="s">
        <v>1092</v>
      </c>
      <c r="S575" s="133">
        <v>0.1</v>
      </c>
      <c r="T575" s="9" t="s">
        <v>622</v>
      </c>
      <c r="U575" s="1" t="s">
        <v>572</v>
      </c>
    </row>
    <row r="576" spans="1:30">
      <c r="A576" s="6" t="s">
        <v>925</v>
      </c>
      <c r="O576" s="22">
        <v>5</v>
      </c>
      <c r="P576" s="22">
        <v>5</v>
      </c>
      <c r="Q576" s="22">
        <v>5</v>
      </c>
      <c r="R576" s="1" t="s">
        <v>1092</v>
      </c>
      <c r="S576" s="133">
        <v>0.1</v>
      </c>
      <c r="T576" s="9" t="s">
        <v>623</v>
      </c>
      <c r="U576" s="1" t="s">
        <v>572</v>
      </c>
    </row>
    <row r="577" spans="1:30">
      <c r="A577" s="6" t="s">
        <v>1100</v>
      </c>
      <c r="O577" s="22">
        <v>5</v>
      </c>
      <c r="P577" s="22">
        <v>5</v>
      </c>
      <c r="Q577" s="22">
        <v>5</v>
      </c>
      <c r="R577" s="1" t="s">
        <v>1092</v>
      </c>
      <c r="S577" s="135">
        <v>0.1</v>
      </c>
      <c r="T577" s="2" t="s">
        <v>624</v>
      </c>
      <c r="U577" s="1" t="s">
        <v>572</v>
      </c>
    </row>
    <row r="578" spans="1:30">
      <c r="A578" s="6" t="s">
        <v>1091</v>
      </c>
      <c r="O578" s="22">
        <v>5</v>
      </c>
      <c r="P578" s="22">
        <v>5</v>
      </c>
      <c r="Q578" s="22">
        <v>5</v>
      </c>
      <c r="R578" s="1" t="s">
        <v>1092</v>
      </c>
      <c r="S578" s="135">
        <v>0.1</v>
      </c>
      <c r="T578" s="2" t="s">
        <v>625</v>
      </c>
      <c r="U578" s="1" t="s">
        <v>572</v>
      </c>
    </row>
    <row r="579" spans="1:30">
      <c r="A579" s="6" t="s">
        <v>926</v>
      </c>
      <c r="O579" s="22">
        <v>5</v>
      </c>
      <c r="P579" s="22">
        <v>5</v>
      </c>
      <c r="Q579" s="22">
        <v>5</v>
      </c>
      <c r="R579" s="1" t="s">
        <v>1092</v>
      </c>
      <c r="S579" s="135">
        <v>0.1</v>
      </c>
      <c r="T579" s="2" t="s">
        <v>628</v>
      </c>
      <c r="U579" s="1" t="s">
        <v>572</v>
      </c>
    </row>
    <row r="580" spans="1:30">
      <c r="A580" s="6" t="s">
        <v>927</v>
      </c>
      <c r="O580" s="22">
        <v>5</v>
      </c>
      <c r="P580" s="22">
        <v>5</v>
      </c>
      <c r="Q580" s="22">
        <v>5</v>
      </c>
      <c r="R580" s="1" t="s">
        <v>1092</v>
      </c>
      <c r="S580" s="135">
        <v>0.1</v>
      </c>
      <c r="T580" s="2" t="s">
        <v>627</v>
      </c>
      <c r="U580" s="1" t="s">
        <v>572</v>
      </c>
    </row>
    <row r="581" spans="1:30">
      <c r="A581" s="6" t="s">
        <v>928</v>
      </c>
      <c r="O581" s="22">
        <v>5</v>
      </c>
      <c r="P581" s="22">
        <v>5</v>
      </c>
      <c r="Q581" s="22">
        <v>5</v>
      </c>
      <c r="R581" s="1" t="s">
        <v>1092</v>
      </c>
      <c r="S581" s="135">
        <v>0.1</v>
      </c>
      <c r="T581" s="2" t="s">
        <v>629</v>
      </c>
      <c r="U581" s="1" t="s">
        <v>572</v>
      </c>
    </row>
    <row r="582" spans="1:30" s="20" customFormat="1">
      <c r="A582" s="28" t="s">
        <v>929</v>
      </c>
      <c r="F582" s="26"/>
      <c r="N582" s="26"/>
      <c r="O582" s="33">
        <v>5</v>
      </c>
      <c r="P582" s="33">
        <v>5</v>
      </c>
      <c r="Q582" s="33">
        <v>5</v>
      </c>
      <c r="R582" s="26" t="s">
        <v>1092</v>
      </c>
      <c r="S582" s="136">
        <v>0.1</v>
      </c>
      <c r="T582" s="35" t="s">
        <v>626</v>
      </c>
      <c r="U582" s="26" t="s">
        <v>572</v>
      </c>
      <c r="V582" s="134"/>
      <c r="X582" s="26"/>
      <c r="Z582" s="33"/>
      <c r="AA582" s="33"/>
      <c r="AB582" s="33"/>
      <c r="AC582" s="112"/>
      <c r="AD582" s="33"/>
    </row>
    <row r="583" spans="1:30">
      <c r="A583" s="5" t="s">
        <v>930</v>
      </c>
      <c r="O583" s="22">
        <v>9</v>
      </c>
      <c r="P583" s="22">
        <v>0</v>
      </c>
      <c r="Q583" s="22">
        <v>0</v>
      </c>
      <c r="R583" s="1" t="s">
        <v>567</v>
      </c>
    </row>
    <row r="584" spans="1:30">
      <c r="A584" s="5" t="s">
        <v>931</v>
      </c>
      <c r="O584" s="22">
        <v>0</v>
      </c>
      <c r="P584" s="22">
        <v>9</v>
      </c>
      <c r="Q584" s="22">
        <v>0</v>
      </c>
      <c r="R584" s="1" t="s">
        <v>567</v>
      </c>
    </row>
    <row r="585" spans="1:30" s="20" customFormat="1">
      <c r="A585" s="27" t="s">
        <v>932</v>
      </c>
      <c r="F585" s="26"/>
      <c r="N585" s="26"/>
      <c r="O585" s="33">
        <v>0</v>
      </c>
      <c r="P585" s="33">
        <v>0</v>
      </c>
      <c r="Q585" s="33">
        <v>9</v>
      </c>
      <c r="R585" s="26" t="s">
        <v>567</v>
      </c>
      <c r="S585" s="134"/>
      <c r="U585" s="26"/>
      <c r="V585" s="134"/>
      <c r="X585" s="26"/>
      <c r="Z585" s="33"/>
      <c r="AA585" s="33"/>
      <c r="AB585" s="33"/>
      <c r="AC585" s="112"/>
      <c r="AD585" s="33"/>
    </row>
    <row r="586" spans="1:30">
      <c r="A586" s="5" t="s">
        <v>933</v>
      </c>
      <c r="O586" s="22">
        <v>10</v>
      </c>
      <c r="P586" s="22">
        <v>10</v>
      </c>
      <c r="Q586" s="22">
        <v>10</v>
      </c>
      <c r="R586" s="1" t="s">
        <v>1092</v>
      </c>
    </row>
    <row r="587" spans="1:30">
      <c r="A587" s="6" t="s">
        <v>934</v>
      </c>
      <c r="O587" s="22">
        <v>10</v>
      </c>
      <c r="P587" s="22">
        <v>10</v>
      </c>
      <c r="Q587" s="22">
        <v>10</v>
      </c>
      <c r="R587" s="1" t="s">
        <v>565</v>
      </c>
      <c r="S587" s="133">
        <v>7.0000000000000007E-2</v>
      </c>
      <c r="T587" s="9" t="s">
        <v>1024</v>
      </c>
      <c r="U587" s="1" t="s">
        <v>566</v>
      </c>
    </row>
    <row r="588" spans="1:30" s="20" customFormat="1">
      <c r="A588" s="28" t="s">
        <v>935</v>
      </c>
      <c r="F588" s="26"/>
      <c r="N588" s="26"/>
      <c r="O588" s="33">
        <v>10</v>
      </c>
      <c r="P588" s="33">
        <v>10</v>
      </c>
      <c r="Q588" s="33">
        <v>10</v>
      </c>
      <c r="R588" s="26" t="s">
        <v>570</v>
      </c>
      <c r="S588" s="134">
        <v>7.0000000000000007E-2</v>
      </c>
      <c r="T588" s="20" t="s">
        <v>1024</v>
      </c>
      <c r="U588" s="26" t="s">
        <v>571</v>
      </c>
      <c r="V588" s="134"/>
      <c r="X588" s="26"/>
      <c r="Z588" s="33"/>
      <c r="AA588" s="33"/>
      <c r="AB588" s="33"/>
      <c r="AC588" s="112"/>
      <c r="AD588" s="33"/>
    </row>
    <row r="589" spans="1:30">
      <c r="A589" s="5" t="s">
        <v>890</v>
      </c>
      <c r="O589" s="22">
        <v>12</v>
      </c>
      <c r="P589" s="22">
        <v>0</v>
      </c>
      <c r="Q589" s="22">
        <v>0</v>
      </c>
      <c r="R589" s="1" t="s">
        <v>1092</v>
      </c>
    </row>
    <row r="590" spans="1:30">
      <c r="A590" s="5" t="s">
        <v>897</v>
      </c>
      <c r="O590" s="22">
        <v>12</v>
      </c>
      <c r="P590" s="22">
        <v>0</v>
      </c>
      <c r="Q590" s="22">
        <v>0</v>
      </c>
      <c r="R590" s="1" t="s">
        <v>1092</v>
      </c>
      <c r="T590" s="2"/>
    </row>
    <row r="591" spans="1:30">
      <c r="A591" s="5" t="s">
        <v>1009</v>
      </c>
      <c r="O591" s="22">
        <v>12</v>
      </c>
      <c r="P591" s="22">
        <v>0</v>
      </c>
      <c r="Q591" s="22">
        <v>0</v>
      </c>
      <c r="R591" s="1" t="s">
        <v>567</v>
      </c>
      <c r="T591" s="2"/>
    </row>
    <row r="592" spans="1:30">
      <c r="A592" s="5" t="s">
        <v>911</v>
      </c>
      <c r="O592" s="22">
        <v>0</v>
      </c>
      <c r="P592" s="22">
        <v>12</v>
      </c>
      <c r="Q592" s="22">
        <v>0</v>
      </c>
      <c r="R592" s="1" t="s">
        <v>1092</v>
      </c>
      <c r="T592" s="2"/>
    </row>
    <row r="593" spans="1:30">
      <c r="A593" s="5" t="s">
        <v>906</v>
      </c>
      <c r="O593" s="22">
        <v>0</v>
      </c>
      <c r="P593" s="22">
        <v>12</v>
      </c>
      <c r="Q593" s="22">
        <v>0</v>
      </c>
      <c r="R593" s="1" t="s">
        <v>567</v>
      </c>
      <c r="T593" s="2"/>
    </row>
    <row r="594" spans="1:30">
      <c r="A594" s="5" t="s">
        <v>909</v>
      </c>
      <c r="O594" s="22">
        <v>0</v>
      </c>
      <c r="P594" s="22">
        <v>0</v>
      </c>
      <c r="Q594" s="22">
        <v>12</v>
      </c>
      <c r="R594" s="1" t="s">
        <v>1092</v>
      </c>
      <c r="T594" s="2"/>
    </row>
    <row r="595" spans="1:30" s="20" customFormat="1">
      <c r="A595" s="27" t="s">
        <v>912</v>
      </c>
      <c r="F595" s="26"/>
      <c r="N595" s="26"/>
      <c r="O595" s="33">
        <v>0</v>
      </c>
      <c r="P595" s="33">
        <v>0</v>
      </c>
      <c r="Q595" s="33">
        <v>12</v>
      </c>
      <c r="R595" s="26" t="s">
        <v>567</v>
      </c>
      <c r="S595" s="134"/>
      <c r="U595" s="26"/>
      <c r="V595" s="134"/>
      <c r="X595" s="26"/>
      <c r="Z595" s="33"/>
      <c r="AA595" s="33"/>
      <c r="AB595" s="33"/>
      <c r="AC595" s="112"/>
      <c r="AD595" s="33"/>
    </row>
    <row r="596" spans="1:30">
      <c r="A596" s="6" t="s">
        <v>946</v>
      </c>
      <c r="O596" s="22">
        <v>13</v>
      </c>
      <c r="P596" s="22">
        <v>0</v>
      </c>
      <c r="Q596" s="22">
        <v>0</v>
      </c>
      <c r="R596" s="1" t="s">
        <v>567</v>
      </c>
    </row>
    <row r="597" spans="1:30">
      <c r="A597" s="6" t="s">
        <v>916</v>
      </c>
      <c r="O597" s="22">
        <v>0</v>
      </c>
      <c r="P597" s="22">
        <v>13</v>
      </c>
      <c r="Q597" s="22">
        <v>0</v>
      </c>
      <c r="R597" s="1" t="s">
        <v>567</v>
      </c>
    </row>
    <row r="598" spans="1:30" s="20" customFormat="1">
      <c r="A598" s="28" t="s">
        <v>899</v>
      </c>
      <c r="F598" s="26"/>
      <c r="N598" s="26"/>
      <c r="O598" s="33">
        <v>0</v>
      </c>
      <c r="P598" s="33">
        <v>0</v>
      </c>
      <c r="Q598" s="33">
        <v>13</v>
      </c>
      <c r="R598" s="26" t="s">
        <v>567</v>
      </c>
      <c r="S598" s="134"/>
      <c r="U598" s="26"/>
      <c r="V598" s="134"/>
      <c r="X598" s="26"/>
      <c r="Z598" s="33"/>
      <c r="AA598" s="33"/>
      <c r="AB598" s="33"/>
      <c r="AC598" s="112"/>
      <c r="AD598" s="33"/>
    </row>
    <row r="599" spans="1:30">
      <c r="A599" s="6" t="s">
        <v>936</v>
      </c>
      <c r="O599" s="22">
        <v>16</v>
      </c>
      <c r="P599" s="22">
        <v>0</v>
      </c>
      <c r="Q599" s="22">
        <v>0</v>
      </c>
      <c r="R599" s="1" t="s">
        <v>567</v>
      </c>
    </row>
    <row r="600" spans="1:30">
      <c r="A600" s="6" t="s">
        <v>937</v>
      </c>
      <c r="O600" s="22">
        <v>0</v>
      </c>
      <c r="P600" s="22">
        <v>16</v>
      </c>
      <c r="Q600" s="22">
        <v>0</v>
      </c>
      <c r="R600" s="1" t="s">
        <v>567</v>
      </c>
    </row>
    <row r="601" spans="1:30">
      <c r="A601" s="6" t="s">
        <v>938</v>
      </c>
      <c r="O601" s="22">
        <v>0</v>
      </c>
      <c r="P601" s="22">
        <v>0</v>
      </c>
      <c r="Q601" s="22">
        <v>16</v>
      </c>
      <c r="R601" s="1" t="s">
        <v>567</v>
      </c>
    </row>
    <row r="602" spans="1:30" s="44" customFormat="1">
      <c r="A602" s="117" t="s">
        <v>939</v>
      </c>
      <c r="F602" s="45"/>
      <c r="N602" s="45"/>
      <c r="O602" s="43">
        <v>18</v>
      </c>
      <c r="P602" s="43">
        <v>18</v>
      </c>
      <c r="Q602" s="43">
        <v>18</v>
      </c>
      <c r="R602" s="45" t="s">
        <v>1092</v>
      </c>
      <c r="S602" s="140"/>
      <c r="U602" s="45"/>
      <c r="V602" s="140"/>
      <c r="X602" s="45"/>
      <c r="Z602" s="43"/>
      <c r="AA602" s="43"/>
      <c r="AB602" s="43"/>
      <c r="AC602" s="130"/>
      <c r="AD602" s="43"/>
    </row>
    <row r="603" spans="1:30">
      <c r="A603" s="36" t="s">
        <v>999</v>
      </c>
      <c r="B603" s="111"/>
      <c r="F603" s="26"/>
      <c r="N603" s="26"/>
      <c r="O603" s="22">
        <v>18</v>
      </c>
      <c r="P603" s="22">
        <v>18</v>
      </c>
      <c r="Q603" s="22">
        <v>18</v>
      </c>
      <c r="R603" s="26" t="s">
        <v>1092</v>
      </c>
      <c r="X603" s="26"/>
      <c r="AB603" s="33"/>
      <c r="AC603" s="112"/>
    </row>
    <row r="604" spans="1:30" s="44" customFormat="1">
      <c r="A604" s="117" t="s">
        <v>940</v>
      </c>
      <c r="F604" s="45"/>
      <c r="N604" s="45"/>
      <c r="O604" s="43">
        <v>20</v>
      </c>
      <c r="P604" s="43">
        <v>0</v>
      </c>
      <c r="Q604" s="43">
        <v>0</v>
      </c>
      <c r="R604" s="45" t="s">
        <v>567</v>
      </c>
      <c r="S604" s="140"/>
      <c r="U604" s="45"/>
      <c r="V604" s="140"/>
      <c r="X604" s="45"/>
      <c r="Z604" s="43"/>
      <c r="AA604" s="43"/>
      <c r="AB604" s="43"/>
      <c r="AC604" s="130"/>
      <c r="AD604" s="43"/>
    </row>
    <row r="605" spans="1:30">
      <c r="A605" s="10" t="s">
        <v>1028</v>
      </c>
      <c r="O605" s="22">
        <v>0</v>
      </c>
      <c r="P605" s="22">
        <v>20</v>
      </c>
      <c r="Q605" s="22">
        <v>0</v>
      </c>
      <c r="R605" s="1" t="s">
        <v>567</v>
      </c>
    </row>
    <row r="606" spans="1:30" s="20" customFormat="1">
      <c r="A606" s="36" t="s">
        <v>941</v>
      </c>
      <c r="F606" s="26"/>
      <c r="N606" s="26"/>
      <c r="O606" s="33">
        <v>0</v>
      </c>
      <c r="P606" s="33">
        <v>0</v>
      </c>
      <c r="Q606" s="33">
        <v>20</v>
      </c>
      <c r="R606" s="26" t="s">
        <v>567</v>
      </c>
      <c r="S606" s="134"/>
      <c r="U606" s="26"/>
      <c r="V606" s="134"/>
      <c r="X606" s="26"/>
      <c r="Z606" s="33"/>
      <c r="AA606" s="33"/>
      <c r="AB606" s="33"/>
      <c r="AC606" s="112"/>
      <c r="AD606" s="33"/>
    </row>
    <row r="607" spans="1:30">
      <c r="A607" s="10" t="s">
        <v>1035</v>
      </c>
      <c r="O607" s="22">
        <v>25</v>
      </c>
      <c r="P607" s="22">
        <v>0</v>
      </c>
      <c r="Q607" s="22">
        <v>0</v>
      </c>
      <c r="R607" s="1" t="s">
        <v>567</v>
      </c>
    </row>
    <row r="608" spans="1:30">
      <c r="A608" s="10" t="s">
        <v>942</v>
      </c>
      <c r="O608" s="22">
        <v>25</v>
      </c>
      <c r="P608" s="22">
        <v>0</v>
      </c>
      <c r="Q608" s="22">
        <v>0</v>
      </c>
      <c r="R608" s="1" t="s">
        <v>1092</v>
      </c>
    </row>
    <row r="609" spans="1:30">
      <c r="A609" s="10" t="s">
        <v>908</v>
      </c>
      <c r="O609" s="22">
        <v>0</v>
      </c>
      <c r="P609" s="22">
        <v>25</v>
      </c>
      <c r="Q609" s="22">
        <v>0</v>
      </c>
      <c r="R609" s="1" t="s">
        <v>567</v>
      </c>
    </row>
    <row r="610" spans="1:30">
      <c r="A610" s="10" t="s">
        <v>943</v>
      </c>
      <c r="O610" s="22">
        <v>0</v>
      </c>
      <c r="P610" s="22">
        <v>25</v>
      </c>
      <c r="Q610" s="22">
        <v>0</v>
      </c>
      <c r="R610" s="1" t="s">
        <v>1092</v>
      </c>
    </row>
    <row r="611" spans="1:30">
      <c r="A611" s="10" t="s">
        <v>944</v>
      </c>
      <c r="O611" s="22">
        <v>0</v>
      </c>
      <c r="P611" s="22">
        <v>0</v>
      </c>
      <c r="Q611" s="22">
        <v>25</v>
      </c>
      <c r="R611" s="1" t="s">
        <v>567</v>
      </c>
    </row>
    <row r="612" spans="1:30" s="20" customFormat="1">
      <c r="A612" s="36" t="s">
        <v>945</v>
      </c>
      <c r="F612" s="26"/>
      <c r="N612" s="26"/>
      <c r="O612" s="33">
        <v>0</v>
      </c>
      <c r="P612" s="33">
        <v>0</v>
      </c>
      <c r="Q612" s="33">
        <v>25</v>
      </c>
      <c r="R612" s="26" t="s">
        <v>1092</v>
      </c>
      <c r="S612" s="134"/>
      <c r="U612" s="26"/>
      <c r="V612" s="134"/>
      <c r="X612" s="26"/>
      <c r="Z612" s="33"/>
      <c r="AA612" s="33"/>
      <c r="AB612" s="33"/>
      <c r="AC612" s="112"/>
      <c r="AD612" s="33"/>
    </row>
    <row r="614" spans="1:30">
      <c r="A614" s="3" t="s">
        <v>1152</v>
      </c>
    </row>
    <row r="616" spans="1:30">
      <c r="A616" s="165" t="s">
        <v>1153</v>
      </c>
      <c r="O616" s="160">
        <v>0</v>
      </c>
      <c r="P616" s="160">
        <v>0</v>
      </c>
      <c r="Q616" s="160">
        <v>1</v>
      </c>
      <c r="R616" s="1" t="s">
        <v>1175</v>
      </c>
      <c r="S616" s="133">
        <v>0.01</v>
      </c>
      <c r="T616" s="9" t="s">
        <v>627</v>
      </c>
      <c r="U616" s="1" t="s">
        <v>572</v>
      </c>
    </row>
    <row r="617" spans="1:30">
      <c r="A617" s="165" t="s">
        <v>1178</v>
      </c>
      <c r="O617" s="160">
        <v>0</v>
      </c>
      <c r="P617" s="160">
        <v>1</v>
      </c>
      <c r="Q617" s="160">
        <v>0</v>
      </c>
      <c r="R617" s="1" t="s">
        <v>1175</v>
      </c>
      <c r="S617" s="133">
        <v>0.01</v>
      </c>
      <c r="T617" s="9" t="s">
        <v>628</v>
      </c>
      <c r="U617" s="1" t="s">
        <v>572</v>
      </c>
    </row>
    <row r="618" spans="1:30">
      <c r="A618" s="166" t="s">
        <v>1154</v>
      </c>
      <c r="O618" s="160">
        <v>0</v>
      </c>
      <c r="P618" s="160">
        <v>0</v>
      </c>
      <c r="Q618" s="160">
        <v>5</v>
      </c>
      <c r="R618" s="1" t="s">
        <v>1175</v>
      </c>
    </row>
    <row r="619" spans="1:30">
      <c r="A619" s="165" t="s">
        <v>1155</v>
      </c>
      <c r="O619" s="160">
        <v>1</v>
      </c>
      <c r="P619" s="160">
        <v>0</v>
      </c>
      <c r="Q619" s="160">
        <v>0</v>
      </c>
      <c r="R619" s="1" t="s">
        <v>1175</v>
      </c>
      <c r="S619" s="133">
        <v>0.01</v>
      </c>
      <c r="T619" s="9" t="s">
        <v>621</v>
      </c>
      <c r="U619" s="1" t="s">
        <v>572</v>
      </c>
    </row>
    <row r="620" spans="1:30">
      <c r="A620" s="165" t="s">
        <v>1156</v>
      </c>
      <c r="O620" s="160">
        <v>0</v>
      </c>
      <c r="P620" s="160">
        <v>0</v>
      </c>
      <c r="Q620" s="160">
        <v>1</v>
      </c>
      <c r="R620" s="1" t="s">
        <v>1175</v>
      </c>
      <c r="S620" s="133">
        <v>0.01</v>
      </c>
      <c r="T620" s="9" t="s">
        <v>626</v>
      </c>
      <c r="U620" s="1" t="s">
        <v>572</v>
      </c>
    </row>
    <row r="621" spans="1:30">
      <c r="A621" s="165" t="s">
        <v>1157</v>
      </c>
      <c r="O621" s="160">
        <v>0</v>
      </c>
      <c r="P621" s="160">
        <v>1</v>
      </c>
      <c r="Q621" s="160">
        <v>0</v>
      </c>
      <c r="R621" s="1" t="s">
        <v>1175</v>
      </c>
      <c r="S621" s="133">
        <v>0.01</v>
      </c>
      <c r="T621" s="9" t="s">
        <v>625</v>
      </c>
      <c r="U621" s="1" t="s">
        <v>572</v>
      </c>
    </row>
    <row r="622" spans="1:30">
      <c r="A622" s="166" t="s">
        <v>1158</v>
      </c>
      <c r="O622" s="160">
        <v>5</v>
      </c>
      <c r="P622" s="160">
        <v>0</v>
      </c>
      <c r="Q622" s="160">
        <v>0</v>
      </c>
      <c r="R622" s="1" t="s">
        <v>1175</v>
      </c>
    </row>
    <row r="623" spans="1:30">
      <c r="A623" s="167" t="s">
        <v>1159</v>
      </c>
      <c r="O623" s="160">
        <v>0</v>
      </c>
      <c r="P623" s="160">
        <v>0</v>
      </c>
      <c r="Q623" s="160">
        <v>2</v>
      </c>
      <c r="R623" s="1" t="s">
        <v>1175</v>
      </c>
      <c r="S623" s="133">
        <v>0.01</v>
      </c>
      <c r="T623" s="2" t="s">
        <v>563</v>
      </c>
      <c r="U623" s="1" t="s">
        <v>572</v>
      </c>
    </row>
    <row r="624" spans="1:30">
      <c r="A624" s="165" t="s">
        <v>1160</v>
      </c>
      <c r="O624" s="160">
        <v>0</v>
      </c>
      <c r="P624" s="160">
        <v>1</v>
      </c>
      <c r="Q624" s="160">
        <v>0</v>
      </c>
      <c r="R624" s="1" t="s">
        <v>1175</v>
      </c>
      <c r="S624" s="133">
        <v>0.01</v>
      </c>
      <c r="T624" s="2" t="s">
        <v>624</v>
      </c>
      <c r="U624" s="1" t="s">
        <v>572</v>
      </c>
    </row>
    <row r="625" spans="1:24">
      <c r="A625" s="165" t="s">
        <v>1161</v>
      </c>
      <c r="O625" s="160">
        <v>1</v>
      </c>
      <c r="P625" s="160">
        <v>0</v>
      </c>
      <c r="Q625" s="160">
        <v>0</v>
      </c>
      <c r="R625" s="1" t="s">
        <v>1175</v>
      </c>
      <c r="S625" s="133">
        <v>0.01</v>
      </c>
      <c r="T625" s="2" t="s">
        <v>622</v>
      </c>
      <c r="U625" s="1" t="s">
        <v>572</v>
      </c>
    </row>
    <row r="626" spans="1:24">
      <c r="A626" s="165" t="s">
        <v>1162</v>
      </c>
      <c r="O626" s="160">
        <v>0</v>
      </c>
      <c r="P626" s="160">
        <v>0</v>
      </c>
      <c r="Q626" s="160">
        <v>1</v>
      </c>
      <c r="R626" s="1" t="s">
        <v>1175</v>
      </c>
      <c r="S626" s="133">
        <v>0.01</v>
      </c>
      <c r="T626" s="2" t="s">
        <v>629</v>
      </c>
      <c r="U626" s="1" t="s">
        <v>572</v>
      </c>
    </row>
    <row r="627" spans="1:24">
      <c r="A627" s="166" t="s">
        <v>1163</v>
      </c>
      <c r="O627" s="160">
        <v>0</v>
      </c>
      <c r="P627" s="160">
        <v>0</v>
      </c>
      <c r="Q627" s="160">
        <v>3</v>
      </c>
      <c r="R627" s="1" t="s">
        <v>1175</v>
      </c>
      <c r="S627" s="133">
        <v>0.02</v>
      </c>
      <c r="T627" s="2" t="s">
        <v>627</v>
      </c>
      <c r="U627" s="1" t="s">
        <v>572</v>
      </c>
      <c r="V627" s="109">
        <v>0.02</v>
      </c>
      <c r="W627" s="2" t="s">
        <v>626</v>
      </c>
      <c r="X627" s="1" t="s">
        <v>572</v>
      </c>
    </row>
    <row r="628" spans="1:24">
      <c r="A628" s="166" t="s">
        <v>1164</v>
      </c>
      <c r="O628" s="160">
        <v>0</v>
      </c>
      <c r="P628" s="160">
        <v>0</v>
      </c>
      <c r="Q628" s="160">
        <v>3</v>
      </c>
      <c r="R628" s="1" t="s">
        <v>1175</v>
      </c>
      <c r="S628" s="133">
        <v>0.02</v>
      </c>
      <c r="T628" s="2" t="s">
        <v>629</v>
      </c>
      <c r="U628" s="1" t="s">
        <v>572</v>
      </c>
      <c r="V628" s="109">
        <v>0.02</v>
      </c>
      <c r="W628" s="2" t="s">
        <v>626</v>
      </c>
      <c r="X628" s="1" t="s">
        <v>572</v>
      </c>
    </row>
    <row r="629" spans="1:24">
      <c r="A629" s="166" t="s">
        <v>1165</v>
      </c>
      <c r="O629" s="160">
        <v>0</v>
      </c>
      <c r="P629" s="160">
        <v>3</v>
      </c>
      <c r="Q629" s="160">
        <v>0</v>
      </c>
      <c r="R629" s="1" t="s">
        <v>1175</v>
      </c>
      <c r="S629" s="133">
        <v>0.02</v>
      </c>
      <c r="T629" s="2" t="s">
        <v>624</v>
      </c>
      <c r="U629" s="1" t="s">
        <v>572</v>
      </c>
      <c r="V629" s="109">
        <v>0.02</v>
      </c>
      <c r="W629" s="2" t="s">
        <v>625</v>
      </c>
      <c r="X629" s="1" t="s">
        <v>572</v>
      </c>
    </row>
    <row r="630" spans="1:24">
      <c r="A630" s="166" t="s">
        <v>1166</v>
      </c>
      <c r="O630" s="160">
        <v>3</v>
      </c>
      <c r="P630" s="160">
        <v>0</v>
      </c>
      <c r="Q630" s="160">
        <v>0</v>
      </c>
      <c r="R630" s="1" t="s">
        <v>1175</v>
      </c>
      <c r="S630" s="133">
        <v>0.02</v>
      </c>
      <c r="T630" s="2" t="s">
        <v>621</v>
      </c>
      <c r="U630" s="1" t="s">
        <v>572</v>
      </c>
      <c r="V630" s="109">
        <v>0.02</v>
      </c>
      <c r="W630" s="2" t="s">
        <v>622</v>
      </c>
      <c r="X630" s="1" t="s">
        <v>572</v>
      </c>
    </row>
    <row r="631" spans="1:24">
      <c r="A631" s="166" t="s">
        <v>1167</v>
      </c>
      <c r="O631" s="160">
        <v>0</v>
      </c>
      <c r="P631" s="160">
        <v>3</v>
      </c>
      <c r="Q631" s="160">
        <v>0</v>
      </c>
      <c r="R631" s="1" t="s">
        <v>1175</v>
      </c>
      <c r="S631" s="133">
        <v>0.02</v>
      </c>
      <c r="T631" s="2" t="s">
        <v>625</v>
      </c>
      <c r="U631" s="1" t="s">
        <v>572</v>
      </c>
      <c r="V631" s="109">
        <v>0.02</v>
      </c>
      <c r="W631" s="2" t="s">
        <v>628</v>
      </c>
      <c r="X631" s="1" t="s">
        <v>572</v>
      </c>
    </row>
    <row r="632" spans="1:24">
      <c r="A632" s="166" t="s">
        <v>1168</v>
      </c>
      <c r="O632" s="160">
        <v>0</v>
      </c>
      <c r="P632" s="160">
        <v>3</v>
      </c>
      <c r="Q632" s="160">
        <v>0</v>
      </c>
      <c r="R632" s="1" t="s">
        <v>1175</v>
      </c>
      <c r="S632" s="133">
        <v>0.02</v>
      </c>
      <c r="T632" s="2" t="s">
        <v>624</v>
      </c>
      <c r="U632" s="1" t="s">
        <v>572</v>
      </c>
      <c r="V632" s="109">
        <v>0.02</v>
      </c>
      <c r="W632" s="2" t="s">
        <v>628</v>
      </c>
      <c r="X632" s="1" t="s">
        <v>572</v>
      </c>
    </row>
    <row r="633" spans="1:24">
      <c r="A633" s="166" t="s">
        <v>1169</v>
      </c>
      <c r="O633" s="160">
        <v>3</v>
      </c>
      <c r="P633" s="160">
        <v>0</v>
      </c>
      <c r="Q633" s="160">
        <v>0</v>
      </c>
      <c r="R633" s="1" t="s">
        <v>1175</v>
      </c>
      <c r="S633" s="133">
        <v>0.02</v>
      </c>
      <c r="T633" s="2" t="s">
        <v>621</v>
      </c>
      <c r="U633" s="1" t="s">
        <v>572</v>
      </c>
      <c r="V633" s="109">
        <v>0.02</v>
      </c>
      <c r="W633" s="2" t="s">
        <v>623</v>
      </c>
      <c r="X633" s="1" t="s">
        <v>572</v>
      </c>
    </row>
    <row r="634" spans="1:24">
      <c r="A634" s="166" t="s">
        <v>1170</v>
      </c>
      <c r="O634" s="160">
        <v>0</v>
      </c>
      <c r="P634" s="160">
        <v>0</v>
      </c>
      <c r="Q634" s="160">
        <v>3</v>
      </c>
      <c r="R634" s="1" t="s">
        <v>1175</v>
      </c>
      <c r="S634" s="133">
        <v>0.02</v>
      </c>
      <c r="T634" s="2" t="s">
        <v>627</v>
      </c>
      <c r="U634" s="1" t="s">
        <v>572</v>
      </c>
      <c r="V634" s="109">
        <v>0.02</v>
      </c>
      <c r="W634" s="2" t="s">
        <v>629</v>
      </c>
      <c r="X634" s="1" t="s">
        <v>572</v>
      </c>
    </row>
    <row r="635" spans="1:24">
      <c r="A635" s="166" t="s">
        <v>1171</v>
      </c>
      <c r="O635" s="160">
        <v>3</v>
      </c>
      <c r="P635" s="160">
        <v>0</v>
      </c>
      <c r="Q635" s="160">
        <v>0</v>
      </c>
      <c r="R635" s="1" t="s">
        <v>1175</v>
      </c>
      <c r="S635" s="133">
        <v>0.02</v>
      </c>
      <c r="T635" s="2" t="s">
        <v>622</v>
      </c>
      <c r="U635" s="1" t="s">
        <v>572</v>
      </c>
      <c r="V635" s="109">
        <v>0.02</v>
      </c>
      <c r="W635" s="2" t="s">
        <v>623</v>
      </c>
      <c r="X635" s="1" t="s">
        <v>572</v>
      </c>
    </row>
    <row r="636" spans="1:24">
      <c r="A636" s="166" t="s">
        <v>1176</v>
      </c>
      <c r="O636" s="160">
        <v>0</v>
      </c>
      <c r="P636" s="160">
        <v>5</v>
      </c>
      <c r="Q636" s="160">
        <v>0</v>
      </c>
      <c r="R636" s="1" t="s">
        <v>1175</v>
      </c>
      <c r="T636" s="2"/>
      <c r="W636" s="2"/>
    </row>
    <row r="637" spans="1:24">
      <c r="A637" s="167" t="s">
        <v>1177</v>
      </c>
      <c r="O637" s="160">
        <v>2</v>
      </c>
      <c r="P637" s="160">
        <v>2</v>
      </c>
      <c r="Q637" s="160">
        <v>2</v>
      </c>
      <c r="R637" s="1" t="s">
        <v>1175</v>
      </c>
      <c r="T637" s="2"/>
      <c r="W637" s="2"/>
    </row>
    <row r="638" spans="1:24">
      <c r="A638" s="165" t="s">
        <v>1172</v>
      </c>
      <c r="O638" s="160">
        <v>1</v>
      </c>
      <c r="P638" s="160">
        <v>0</v>
      </c>
      <c r="Q638" s="160">
        <v>0</v>
      </c>
      <c r="R638" s="1" t="s">
        <v>1175</v>
      </c>
      <c r="S638" s="133">
        <v>0.01</v>
      </c>
      <c r="T638" s="2" t="s">
        <v>623</v>
      </c>
      <c r="U638" s="1" t="s">
        <v>572</v>
      </c>
    </row>
    <row r="639" spans="1:24">
      <c r="A639" s="167" t="s">
        <v>1173</v>
      </c>
      <c r="O639" s="160">
        <v>0</v>
      </c>
      <c r="P639" s="160">
        <v>2</v>
      </c>
      <c r="Q639" s="160">
        <v>0</v>
      </c>
      <c r="R639" s="1" t="s">
        <v>1175</v>
      </c>
      <c r="S639" s="133">
        <v>0.01</v>
      </c>
      <c r="T639" s="2" t="s">
        <v>562</v>
      </c>
      <c r="U639" s="1" t="s">
        <v>572</v>
      </c>
    </row>
    <row r="640" spans="1:24">
      <c r="A640" s="167" t="s">
        <v>1174</v>
      </c>
      <c r="O640" s="160">
        <v>2</v>
      </c>
      <c r="P640" s="160">
        <v>0</v>
      </c>
      <c r="Q640" s="160">
        <v>0</v>
      </c>
      <c r="R640" s="1" t="s">
        <v>1175</v>
      </c>
      <c r="S640" s="133">
        <v>0.01</v>
      </c>
      <c r="T640" s="2" t="s">
        <v>561</v>
      </c>
      <c r="U640" s="1" t="s">
        <v>572</v>
      </c>
    </row>
  </sheetData>
  <conditionalFormatting sqref="Y604 Y607:Y608 Y594:Y595 Y583 Y570:Y580 Y562:Y564 Y547:Y557 Y610:Y1048576 Y2:Y545">
    <cfRule type="containsText" dxfId="2" priority="2" operator="containsText" text="Yes">
      <formula>NOT(ISERROR(SEARCH("Yes",Y2)))</formula>
    </cfRule>
  </conditionalFormatting>
  <conditionalFormatting sqref="AC604 AC607:AC608 AC594:AC595 AC583 AC570:AC580 AC562:AC564 AC547:AC557 AC610:AC1048576 AC2:AC545">
    <cfRule type="cellIs" dxfId="1" priority="1" operator="greater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"/>
  <dimension ref="A1:AQ163"/>
  <sheetViews>
    <sheetView topLeftCell="R1" workbookViewId="0">
      <selection activeCell="W11" sqref="W11"/>
    </sheetView>
  </sheetViews>
  <sheetFormatPr defaultRowHeight="15"/>
  <cols>
    <col min="1" max="1" width="19.7109375" customWidth="1"/>
    <col min="2" max="2" width="18.28515625" customWidth="1"/>
    <col min="3" max="3" width="16.140625" customWidth="1"/>
    <col min="4" max="4" width="9.140625" bestFit="1" customWidth="1"/>
    <col min="5" max="5" width="7.7109375" customWidth="1"/>
    <col min="6" max="6" width="10.7109375" customWidth="1"/>
    <col min="7" max="7" width="12.5703125" customWidth="1"/>
    <col min="8" max="8" width="7.7109375" bestFit="1" customWidth="1"/>
    <col min="10" max="10" width="4.42578125" customWidth="1"/>
    <col min="11" max="11" width="3.85546875" customWidth="1"/>
    <col min="12" max="12" width="23.5703125" customWidth="1"/>
    <col min="13" max="13" width="16.42578125" customWidth="1"/>
    <col min="14" max="14" width="20" bestFit="1" customWidth="1"/>
    <col min="15" max="15" width="16.7109375" bestFit="1" customWidth="1"/>
    <col min="16" max="16" width="16" bestFit="1" customWidth="1"/>
    <col min="17" max="17" width="19.42578125" customWidth="1"/>
    <col min="18" max="18" width="17.85546875" customWidth="1"/>
    <col min="19" max="19" width="26.5703125" customWidth="1"/>
    <col min="27" max="27" width="11" customWidth="1"/>
    <col min="28" max="28" width="10.42578125" customWidth="1"/>
  </cols>
  <sheetData>
    <row r="1" spans="1:43">
      <c r="A1" s="55" t="s">
        <v>969</v>
      </c>
      <c r="B1" s="40"/>
      <c r="C1" s="79"/>
      <c r="AA1" s="171" t="s">
        <v>1088</v>
      </c>
      <c r="AB1" s="200" t="s">
        <v>1019</v>
      </c>
      <c r="AC1" s="43"/>
      <c r="AD1" s="43"/>
      <c r="AE1" s="43"/>
      <c r="AF1" s="85"/>
      <c r="AG1" s="44"/>
      <c r="AH1" s="44"/>
      <c r="AI1" s="87"/>
      <c r="AJ1" s="44"/>
      <c r="AK1" s="45"/>
      <c r="AL1" s="87"/>
      <c r="AM1" s="44"/>
      <c r="AN1" s="44"/>
      <c r="AO1" s="87"/>
      <c r="AP1" s="44"/>
      <c r="AQ1" s="45"/>
    </row>
    <row r="2" spans="1:43">
      <c r="E2" t="s">
        <v>978</v>
      </c>
      <c r="F2" t="s">
        <v>979</v>
      </c>
      <c r="G2" t="s">
        <v>987</v>
      </c>
      <c r="H2" s="40" t="s">
        <v>988</v>
      </c>
      <c r="AA2" s="172" t="s">
        <v>1146</v>
      </c>
      <c r="AB2" s="201"/>
      <c r="AC2" s="22" t="str">
        <f>IF(AB2&lt;&gt;"",VLOOKUP(AB2,Items!$A$616:$X$640,15,FALSE),"")</f>
        <v/>
      </c>
      <c r="AD2" s="22" t="str">
        <f>IF(AB2&lt;&gt;"",VLOOKUP(AB2,Items!$A$616:$X$640,16,FALSE),"")</f>
        <v/>
      </c>
      <c r="AE2" s="13" t="str">
        <f>IF(AB2&lt;&gt;"",VLOOKUP(AB2,Items!$A$616:$X$640,17,FALSE),"")</f>
        <v/>
      </c>
      <c r="AF2" s="127" t="str">
        <f>IF(AB2&lt;&gt;"",IF(VLOOKUP(AB2,Items!$A$616:$X$640,19,FALSE)&lt;&gt;0,VLOOKUP(AB2,Items!$A$616:$X$640,19,FALSE),""),"")</f>
        <v/>
      </c>
      <c r="AG2" s="161" t="str">
        <f>IF(AB2&lt;&gt;"",IF(VLOOKUP(AB2,Items!$A$616:$X$640,20,FALSE)&lt;&gt;0,VLOOKUP(AB2,Items!$A$616:$X$640,20,FALSE),""),"")</f>
        <v/>
      </c>
      <c r="AH2" s="9" t="str">
        <f>IF(AB2&lt;&gt;"",IF(VLOOKUP(AB2,Items!$A$616:$X$640,21,FALSE)&lt;&gt;0,VLOOKUP(AB2,Items!$A$616:$X$640,21,FALSE),""),"")</f>
        <v/>
      </c>
      <c r="AI2" s="88" t="str">
        <f>IF(AB2&lt;&gt;"",IF(VLOOKUP(AB2,Items!$A$616:$X$640,22,FALSE)&lt;&gt;0,VLOOKUP(AB2,Items!$A$616:$X$640,22,FALSE),""),"")</f>
        <v/>
      </c>
      <c r="AJ2" s="9" t="str">
        <f>IF(AB2&lt;&gt;"",IF(VLOOKUP(AB2,Items!$A$616:$X$640,23,FALSE)&lt;&gt;0,VLOOKUP(AB2,Items!$A$616:$X$640,23,FALSE),""),"")</f>
        <v/>
      </c>
      <c r="AK2" s="1" t="str">
        <f>IF(AB2&lt;&gt;"",IF(VLOOKUP(AB2,Items!$A$616:$X$640,24,FALSE)&lt;&gt;0,VLOOKUP(AB2,Items!$A$616:$X$640,24,FALSE),""),"")</f>
        <v/>
      </c>
      <c r="AL2" s="46"/>
      <c r="AM2" s="9"/>
      <c r="AN2" s="9"/>
      <c r="AO2" s="46"/>
      <c r="AP2" s="9"/>
      <c r="AQ2" s="1"/>
    </row>
    <row r="3" spans="1:43" ht="16.5" thickBot="1">
      <c r="A3" t="s">
        <v>448</v>
      </c>
      <c r="B3" t="s">
        <v>970</v>
      </c>
      <c r="C3" t="s">
        <v>973</v>
      </c>
      <c r="D3" s="109">
        <v>0.12</v>
      </c>
      <c r="E3" s="109">
        <v>0.03</v>
      </c>
      <c r="F3" s="40">
        <v>200</v>
      </c>
      <c r="G3" s="204">
        <v>1</v>
      </c>
      <c r="H3" s="109">
        <f>G3*E3</f>
        <v>0.03</v>
      </c>
      <c r="J3" s="9"/>
      <c r="K3" s="9"/>
      <c r="L3" s="69" t="s">
        <v>780</v>
      </c>
      <c r="M3" s="70" t="s">
        <v>781</v>
      </c>
      <c r="N3" s="71" t="s">
        <v>782</v>
      </c>
      <c r="O3" s="9"/>
      <c r="P3" s="8"/>
      <c r="AA3" s="172" t="s">
        <v>1147</v>
      </c>
      <c r="AB3" s="201"/>
      <c r="AC3" s="22" t="str">
        <f>IF(AB3&lt;&gt;"",VLOOKUP(AB3,Items!$A$616:$X$640,15,FALSE),"")</f>
        <v/>
      </c>
      <c r="AD3" s="22" t="str">
        <f>IF(AB3&lt;&gt;"",VLOOKUP(AB3,Items!$A$616:$X$640,16,FALSE),"")</f>
        <v/>
      </c>
      <c r="AE3" s="13" t="str">
        <f>IF(AB3&lt;&gt;"",VLOOKUP(AB3,Items!$A$616:$X$640,17,FALSE),"")</f>
        <v/>
      </c>
      <c r="AF3" s="127" t="str">
        <f>IF(AB3&lt;&gt;"",IF(VLOOKUP(AB3,Items!$A$616:$X$640,19,FALSE)&lt;&gt;0,VLOOKUP(AB3,Items!$A$616:$X$640,19,FALSE),""),"")</f>
        <v/>
      </c>
      <c r="AG3" s="161" t="str">
        <f>IF(AB3&lt;&gt;"",IF(VLOOKUP(AB3,Items!$A$616:$X$640,20,FALSE)&lt;&gt;0,VLOOKUP(AB3,Items!$A$616:$X$640,20,FALSE),""),"")</f>
        <v/>
      </c>
      <c r="AH3" s="9" t="str">
        <f>IF(AB3&lt;&gt;"",IF(VLOOKUP(AB3,Items!$A$616:$X$640,21,FALSE)&lt;&gt;0,VLOOKUP(AB3,Items!$A$616:$X$640,21,FALSE),""),"")</f>
        <v/>
      </c>
      <c r="AI3" s="88" t="str">
        <f>IF(AB3&lt;&gt;"",IF(VLOOKUP(AB3,Items!$A$616:$X$640,22,FALSE)&lt;&gt;0,VLOOKUP(AB3,Items!$A$616:$X$640,22,FALSE),""),"")</f>
        <v/>
      </c>
      <c r="AJ3" s="9" t="str">
        <f>IF(AB3&lt;&gt;"",IF(VLOOKUP(AB3,Items!$A$616:$X$640,23,FALSE)&lt;&gt;0,VLOOKUP(AB3,Items!$A$616:$X$640,23,FALSE),""),"")</f>
        <v/>
      </c>
      <c r="AK3" s="1" t="str">
        <f>IF(AB3&lt;&gt;"",IF(VLOOKUP(AB3,Items!$A$616:$X$640,24,FALSE)&lt;&gt;0,VLOOKUP(AB3,Items!$A$616:$X$640,24,FALSE),""),"")</f>
        <v/>
      </c>
      <c r="AL3" s="46"/>
      <c r="AM3" s="9"/>
      <c r="AN3" s="9"/>
      <c r="AO3" s="46"/>
      <c r="AP3" s="9"/>
      <c r="AQ3" s="1"/>
    </row>
    <row r="4" spans="1:43" ht="15.75">
      <c r="A4" t="s">
        <v>51</v>
      </c>
      <c r="B4" t="s">
        <v>971</v>
      </c>
      <c r="C4" t="s">
        <v>972</v>
      </c>
      <c r="D4" s="109">
        <v>0.15</v>
      </c>
      <c r="E4" s="109">
        <v>0.03</v>
      </c>
      <c r="F4" s="40">
        <v>300</v>
      </c>
      <c r="G4" s="204">
        <v>0</v>
      </c>
      <c r="H4" s="109">
        <f t="shared" ref="H4:H9" si="0">G4*E4</f>
        <v>0</v>
      </c>
      <c r="J4" s="9"/>
      <c r="K4" s="9"/>
      <c r="L4" s="72" t="s">
        <v>21</v>
      </c>
      <c r="M4" s="93" t="s">
        <v>51</v>
      </c>
      <c r="N4" s="75" t="s">
        <v>78</v>
      </c>
      <c r="O4" s="175"/>
      <c r="P4" s="175"/>
      <c r="AA4" s="172" t="s">
        <v>1148</v>
      </c>
      <c r="AB4" s="201"/>
      <c r="AC4" s="22" t="str">
        <f>IF(AB4&lt;&gt;"",VLOOKUP(AB4,Items!$A$616:$X$640,15,FALSE),"")</f>
        <v/>
      </c>
      <c r="AD4" s="22" t="str">
        <f>IF(AB4&lt;&gt;"",VLOOKUP(AB4,Items!$A$616:$X$640,16,FALSE),"")</f>
        <v/>
      </c>
      <c r="AE4" s="13" t="str">
        <f>IF(AB4&lt;&gt;"",VLOOKUP(AB4,Items!$A$616:$X$640,17,FALSE),"")</f>
        <v/>
      </c>
      <c r="AF4" s="127" t="str">
        <f>IF(AB4&lt;&gt;"",IF(VLOOKUP(AB4,Items!$A$616:$X$640,19,FALSE)&lt;&gt;0,VLOOKUP(AB4,Items!$A$616:$X$640,19,FALSE),""),"")</f>
        <v/>
      </c>
      <c r="AG4" s="161" t="str">
        <f>IF(AB4&lt;&gt;"",IF(VLOOKUP(AB4,Items!$A$616:$X$640,20,FALSE)&lt;&gt;0,VLOOKUP(AB4,Items!$A$616:$X$640,20,FALSE),""),"")</f>
        <v/>
      </c>
      <c r="AH4" s="9" t="str">
        <f>IF(AB4&lt;&gt;"",IF(VLOOKUP(AB4,Items!$A$616:$X$640,21,FALSE)&lt;&gt;0,VLOOKUP(AB4,Items!$A$616:$X$640,21,FALSE),""),"")</f>
        <v/>
      </c>
      <c r="AI4" s="88" t="str">
        <f>IF(AB4&lt;&gt;"",IF(VLOOKUP(AB4,Items!$A$616:$X$640,22,FALSE)&lt;&gt;0,VLOOKUP(AB4,Items!$A$616:$X$640,22,FALSE),""),"")</f>
        <v/>
      </c>
      <c r="AJ4" s="9" t="str">
        <f>IF(AB4&lt;&gt;"",IF(VLOOKUP(AB4,Items!$A$616:$X$640,23,FALSE)&lt;&gt;0,VLOOKUP(AB4,Items!$A$616:$X$640,23,FALSE),""),"")</f>
        <v/>
      </c>
      <c r="AK4" s="1" t="str">
        <f>IF(AB4&lt;&gt;"",IF(VLOOKUP(AB4,Items!$A$616:$X$640,24,FALSE)&lt;&gt;0,VLOOKUP(AB4,Items!$A$616:$X$640,24,FALSE),""),"")</f>
        <v/>
      </c>
      <c r="AL4" s="46"/>
      <c r="AM4" s="9"/>
      <c r="AN4" s="9"/>
      <c r="AO4" s="46"/>
      <c r="AP4" s="9"/>
      <c r="AQ4" s="1"/>
    </row>
    <row r="5" spans="1:43" ht="15.75">
      <c r="A5" t="s">
        <v>78</v>
      </c>
      <c r="B5" t="s">
        <v>974</v>
      </c>
      <c r="C5" t="s">
        <v>975</v>
      </c>
      <c r="D5" s="109">
        <v>0.17</v>
      </c>
      <c r="E5" s="109">
        <v>0.01</v>
      </c>
      <c r="F5" s="40">
        <v>150</v>
      </c>
      <c r="G5" s="204">
        <v>0</v>
      </c>
      <c r="H5" s="109">
        <f t="shared" si="0"/>
        <v>0</v>
      </c>
      <c r="J5" s="9"/>
      <c r="K5" s="9"/>
      <c r="L5" s="72" t="s">
        <v>170</v>
      </c>
      <c r="M5" s="74" t="s">
        <v>189</v>
      </c>
      <c r="N5" s="75" t="s">
        <v>211</v>
      </c>
      <c r="O5" s="175"/>
      <c r="P5" s="175"/>
      <c r="AA5" s="172" t="s">
        <v>1149</v>
      </c>
      <c r="AB5" s="201"/>
      <c r="AC5" s="22" t="str">
        <f>IF(AB5&lt;&gt;"",VLOOKUP(AB5,Items!$A$616:$X$640,15,FALSE),"")</f>
        <v/>
      </c>
      <c r="AD5" s="22" t="str">
        <f>IF(AB5&lt;&gt;"",VLOOKUP(AB5,Items!$A$616:$X$640,16,FALSE),"")</f>
        <v/>
      </c>
      <c r="AE5" s="13" t="str">
        <f>IF(AB5&lt;&gt;"",VLOOKUP(AB5,Items!$A$616:$X$640,17,FALSE),"")</f>
        <v/>
      </c>
      <c r="AF5" s="127" t="str">
        <f>IF(AB5&lt;&gt;"",IF(VLOOKUP(AB5,Items!$A$616:$X$640,19,FALSE)&lt;&gt;0,VLOOKUP(AB5,Items!$A$616:$X$640,19,FALSE),""),"")</f>
        <v/>
      </c>
      <c r="AG5" s="161" t="str">
        <f>IF(AB5&lt;&gt;"",IF(VLOOKUP(AB5,Items!$A$616:$X$640,20,FALSE)&lt;&gt;0,VLOOKUP(AB5,Items!$A$616:$X$640,20,FALSE),""),"")</f>
        <v/>
      </c>
      <c r="AH5" s="9" t="str">
        <f>IF(AB5&lt;&gt;"",IF(VLOOKUP(AB5,Items!$A$616:$X$640,21,FALSE)&lt;&gt;0,VLOOKUP(AB5,Items!$A$616:$X$640,21,FALSE),""),"")</f>
        <v/>
      </c>
      <c r="AI5" s="88" t="str">
        <f>IF(AB5&lt;&gt;"",IF(VLOOKUP(AB5,Items!$A$616:$X$640,22,FALSE)&lt;&gt;0,VLOOKUP(AB5,Items!$A$616:$X$640,22,FALSE),""),"")</f>
        <v/>
      </c>
      <c r="AJ5" s="9" t="str">
        <f>IF(AB5&lt;&gt;"",IF(VLOOKUP(AB5,Items!$A$616:$X$640,23,FALSE)&lt;&gt;0,VLOOKUP(AB5,Items!$A$616:$X$640,23,FALSE),""),"")</f>
        <v/>
      </c>
      <c r="AK5" s="1" t="str">
        <f>IF(AB5&lt;&gt;"",IF(VLOOKUP(AB5,Items!$A$616:$X$640,24,FALSE)&lt;&gt;0,VLOOKUP(AB5,Items!$A$616:$X$640,24,FALSE),""),"")</f>
        <v/>
      </c>
      <c r="AL5" s="46"/>
      <c r="AM5" s="9"/>
      <c r="AN5" s="9"/>
      <c r="AO5" s="46"/>
      <c r="AP5" s="9"/>
      <c r="AQ5" s="1"/>
    </row>
    <row r="6" spans="1:43" ht="15.75">
      <c r="A6" t="s">
        <v>170</v>
      </c>
      <c r="B6" t="s">
        <v>976</v>
      </c>
      <c r="C6" t="s">
        <v>977</v>
      </c>
      <c r="D6" s="109">
        <v>0.12</v>
      </c>
      <c r="E6" s="109">
        <v>0.02</v>
      </c>
      <c r="F6" s="40">
        <v>600</v>
      </c>
      <c r="G6" s="204">
        <v>0</v>
      </c>
      <c r="H6" s="109">
        <f t="shared" si="0"/>
        <v>0</v>
      </c>
      <c r="J6" s="9"/>
      <c r="K6" s="9"/>
      <c r="L6" s="72" t="s">
        <v>377</v>
      </c>
      <c r="M6" s="74" t="s">
        <v>396</v>
      </c>
      <c r="N6" s="75" t="s">
        <v>415</v>
      </c>
      <c r="O6" s="175"/>
      <c r="P6" s="175"/>
      <c r="AA6" s="172" t="s">
        <v>1150</v>
      </c>
      <c r="AB6" s="201"/>
      <c r="AC6" s="22" t="str">
        <f>IF(AB6&lt;&gt;"",VLOOKUP(AB6,Items!$A$616:$X$640,15,FALSE),"")</f>
        <v/>
      </c>
      <c r="AD6" s="22" t="str">
        <f>IF(AB6&lt;&gt;"",VLOOKUP(AB6,Items!$A$616:$X$640,16,FALSE),"")</f>
        <v/>
      </c>
      <c r="AE6" s="13" t="str">
        <f>IF(AB6&lt;&gt;"",VLOOKUP(AB6,Items!$A$616:$X$640,17,FALSE),"")</f>
        <v/>
      </c>
      <c r="AF6" s="127" t="str">
        <f>IF(AB6&lt;&gt;"",IF(VLOOKUP(AB6,Items!$A$616:$X$640,19,FALSE)&lt;&gt;0,VLOOKUP(AB6,Items!$A$616:$X$640,19,FALSE),""),"")</f>
        <v/>
      </c>
      <c r="AG6" s="161" t="str">
        <f>IF(AB6&lt;&gt;"",IF(VLOOKUP(AB6,Items!$A$616:$X$640,20,FALSE)&lt;&gt;0,VLOOKUP(AB6,Items!$A$616:$X$640,20,FALSE),""),"")</f>
        <v/>
      </c>
      <c r="AH6" s="9" t="str">
        <f>IF(AB6&lt;&gt;"",IF(VLOOKUP(AB6,Items!$A$616:$X$640,21,FALSE)&lt;&gt;0,VLOOKUP(AB6,Items!$A$616:$X$640,21,FALSE),""),"")</f>
        <v/>
      </c>
      <c r="AI6" s="88" t="str">
        <f>IF(AB6&lt;&gt;"",IF(VLOOKUP(AB6,Items!$A$616:$X$640,22,FALSE)&lt;&gt;0,VLOOKUP(AB6,Items!$A$616:$X$640,22,FALSE),""),"")</f>
        <v/>
      </c>
      <c r="AJ6" s="9" t="str">
        <f>IF(AB6&lt;&gt;"",IF(VLOOKUP(AB6,Items!$A$616:$X$640,23,FALSE)&lt;&gt;0,VLOOKUP(AB6,Items!$A$616:$X$640,23,FALSE),""),"")</f>
        <v/>
      </c>
      <c r="AK6" s="1" t="str">
        <f>IF(AB6&lt;&gt;"",IF(VLOOKUP(AB6,Items!$A$616:$X$640,24,FALSE)&lt;&gt;0,VLOOKUP(AB6,Items!$A$616:$X$640,24,FALSE),""),"")</f>
        <v/>
      </c>
      <c r="AL6" s="46"/>
      <c r="AM6" s="9"/>
      <c r="AN6" s="9"/>
      <c r="AO6" s="46"/>
      <c r="AP6" s="9"/>
      <c r="AQ6" s="1"/>
    </row>
    <row r="7" spans="1:43" ht="16.5" thickBot="1">
      <c r="A7" t="s">
        <v>189</v>
      </c>
      <c r="B7" t="s">
        <v>980</v>
      </c>
      <c r="C7" t="s">
        <v>981</v>
      </c>
      <c r="D7" s="109">
        <v>0.15</v>
      </c>
      <c r="E7" s="109">
        <v>0.03</v>
      </c>
      <c r="F7" s="40">
        <v>600</v>
      </c>
      <c r="G7" s="204">
        <v>0</v>
      </c>
      <c r="H7" s="109">
        <f t="shared" si="0"/>
        <v>0</v>
      </c>
      <c r="J7" s="9"/>
      <c r="K7" s="2"/>
      <c r="L7" s="73" t="s">
        <v>448</v>
      </c>
      <c r="M7" s="94" t="s">
        <v>465</v>
      </c>
      <c r="N7" s="76" t="s">
        <v>432</v>
      </c>
      <c r="O7" s="175"/>
      <c r="P7" s="119"/>
      <c r="AA7" s="172" t="s">
        <v>1151</v>
      </c>
      <c r="AB7" s="201"/>
      <c r="AC7" s="22" t="str">
        <f>IF(AB7&lt;&gt;"",VLOOKUP(AB7,Items!$A$616:$X$640,15,FALSE),"")</f>
        <v/>
      </c>
      <c r="AD7" s="22" t="str">
        <f>IF(AB7&lt;&gt;"",VLOOKUP(AB7,Items!$A$616:$X$640,16,FALSE),"")</f>
        <v/>
      </c>
      <c r="AE7" s="13" t="str">
        <f>IF(AB7&lt;&gt;"",VLOOKUP(AB7,Items!$A$616:$X$640,17,FALSE),"")</f>
        <v/>
      </c>
      <c r="AF7" s="127" t="str">
        <f>IF(AB7&lt;&gt;"",IF(VLOOKUP(AB7,Items!$A$616:$X$640,19,FALSE)&lt;&gt;0,VLOOKUP(AB7,Items!$A$616:$X$640,19,FALSE),""),"")</f>
        <v/>
      </c>
      <c r="AG7" s="161" t="str">
        <f>IF(AB7&lt;&gt;"",IF(VLOOKUP(AB7,Items!$A$616:$X$640,20,FALSE)&lt;&gt;0,VLOOKUP(AB7,Items!$A$616:$X$640,20,FALSE),""),"")</f>
        <v/>
      </c>
      <c r="AH7" s="9" t="str">
        <f>IF(AB7&lt;&gt;"",IF(VLOOKUP(AB7,Items!$A$616:$X$640,21,FALSE)&lt;&gt;0,VLOOKUP(AB7,Items!$A$616:$X$640,21,FALSE),""),"")</f>
        <v/>
      </c>
      <c r="AI7" s="88" t="str">
        <f>IF(AB7&lt;&gt;"",IF(VLOOKUP(AB7,Items!$A$616:$X$640,22,FALSE)&lt;&gt;0,VLOOKUP(AB7,Items!$A$616:$X$640,22,FALSE),""),"")</f>
        <v/>
      </c>
      <c r="AJ7" s="9" t="str">
        <f>IF(AB7&lt;&gt;"",IF(VLOOKUP(AB7,Items!$A$616:$X$640,23,FALSE)&lt;&gt;0,VLOOKUP(AB7,Items!$A$616:$X$640,23,FALSE),""),"")</f>
        <v/>
      </c>
      <c r="AK7" s="1" t="str">
        <f>IF(AB7&lt;&gt;"",IF(VLOOKUP(AB7,Items!$A$616:$X$640,24,FALSE)&lt;&gt;0,VLOOKUP(AB7,Items!$A$616:$X$640,24,FALSE),""),"")</f>
        <v/>
      </c>
      <c r="AL7" s="46"/>
      <c r="AM7" s="9"/>
      <c r="AN7" s="9"/>
      <c r="AO7" s="46"/>
      <c r="AP7" s="9"/>
      <c r="AQ7" s="1"/>
    </row>
    <row r="8" spans="1:43">
      <c r="A8" t="s">
        <v>286</v>
      </c>
      <c r="B8" t="s">
        <v>962</v>
      </c>
      <c r="C8" t="s">
        <v>982</v>
      </c>
      <c r="D8" s="109">
        <v>0.1</v>
      </c>
      <c r="E8" s="109">
        <v>0.02</v>
      </c>
      <c r="F8" s="40">
        <v>1000</v>
      </c>
      <c r="G8" s="204">
        <v>0</v>
      </c>
      <c r="H8" s="109">
        <f t="shared" si="0"/>
        <v>0</v>
      </c>
      <c r="J8" s="9"/>
      <c r="K8" s="9"/>
      <c r="L8" s="176"/>
      <c r="M8" s="9"/>
      <c r="N8" s="175"/>
      <c r="O8" s="175"/>
      <c r="P8" s="175"/>
      <c r="AA8" s="46" t="s">
        <v>631</v>
      </c>
      <c r="AB8" s="201"/>
      <c r="AC8" s="22">
        <v>0</v>
      </c>
      <c r="AD8" s="22">
        <v>0</v>
      </c>
      <c r="AE8" s="22">
        <v>0</v>
      </c>
      <c r="AF8" s="88"/>
      <c r="AG8" s="9"/>
      <c r="AH8" s="9"/>
      <c r="AI8" s="46"/>
      <c r="AJ8" s="9"/>
      <c r="AK8" s="1"/>
      <c r="AL8" s="46"/>
      <c r="AM8" s="22"/>
      <c r="AN8" s="9"/>
      <c r="AO8" s="88"/>
      <c r="AP8" s="22"/>
      <c r="AQ8" s="1"/>
    </row>
    <row r="9" spans="1:43">
      <c r="A9" t="s">
        <v>330</v>
      </c>
      <c r="B9" t="s">
        <v>1007</v>
      </c>
      <c r="C9" t="s">
        <v>996</v>
      </c>
      <c r="D9" s="109">
        <v>0.1</v>
      </c>
      <c r="E9" s="109">
        <v>0.02</v>
      </c>
      <c r="F9" s="40">
        <v>1000</v>
      </c>
      <c r="G9" s="204">
        <v>0</v>
      </c>
      <c r="H9" s="109">
        <f t="shared" si="0"/>
        <v>0</v>
      </c>
      <c r="J9" s="175"/>
      <c r="K9" s="175"/>
      <c r="L9" s="176"/>
      <c r="M9" s="175"/>
      <c r="N9" s="175"/>
      <c r="O9" s="175"/>
      <c r="P9" s="175"/>
      <c r="AA9" s="46" t="s">
        <v>565</v>
      </c>
      <c r="AB9" s="201" t="s">
        <v>1145</v>
      </c>
      <c r="AC9" s="22">
        <f>IF(convertString(AB9, "prefix")&lt;&gt;"",VLOOKUP(convertString(AB9, "prefix"),Items!$A$544:$Z$612,15,FALSE),0) + IF(convertString(AB9, "item")&lt;&gt;"",VLOOKUP(convertString(AB9, "item"),Items!$A$14:$X$432,15,FALSE),0) + IF(convertString(AB9, "suffix")&lt;&gt;"",VLOOKUP(convertString(AB9, "suffix"),Items!$A$544:$Z$612,15,FALSE),0) + SUM(AC10:AC15)</f>
        <v>0</v>
      </c>
      <c r="AD9" s="22">
        <f>IF(convertString(AB9, "prefix")&lt;&gt;"",VLOOKUP(convertString(AB9, "prefix"),Items!$A$544:$Z$612,16,FALSE),0) + IF(convertString(AB9, "item")&lt;&gt;"",VLOOKUP(convertString(AB9, "item"),Items!$A$14:$X$432,16,FALSE),0) + IF(convertString(AB9, "suffix")&lt;&gt;"",VLOOKUP(convertString(AB9, "suffix"),Items!$A$544:$Z$612,16,FALSE),0)+SUM(AD10:AD15)</f>
        <v>0</v>
      </c>
      <c r="AE9" s="22">
        <f>IF(convertString(AB9, "prefix")&lt;&gt;"",VLOOKUP(convertString(AB9, "prefix"),Items!$A$544:$Z$612,17,FALSE),0) + IF(convertString(AB9, "item")&lt;&gt;"",VLOOKUP(convertString(AB9, "item"),Items!$A$14:$X$432,17,FALSE),0) + IF(convertString(AB9, "suffix")&lt;&gt;"",VLOOKUP(convertString(AB9, "suffix"),Items!$A$544:$Z$612,17,FALSE),0)+SUM(AE10:AE15)</f>
        <v>0</v>
      </c>
      <c r="AF9" s="88" t="str">
        <f>IF(VLOOKUP(convertString(AB9, "item"),Items!$A$14:$X$432,19,FALSE)&lt;&gt;"",VLOOKUP(convertString(AB9, "item"),Items!$A$14:$X$432,19,FALSE),"")</f>
        <v/>
      </c>
      <c r="AG9" s="118" t="str">
        <f>IF(VLOOKUP(convertString(AB9, "item"),Items!$A$14:$X$432,20,FALSE)&lt;&gt;0,VLOOKUP(convertString(AB9, "item"),Items!$A$14:$X$432,20,FALSE),"")</f>
        <v/>
      </c>
      <c r="AH9" s="9" t="str">
        <f>IF(VLOOKUP(convertString(AB9, "item"),Items!$A$14:$X$432,21,FALSE)&lt;&gt;"",VLOOKUP(convertString(AB9, "item"),Items!$A$14:$X$432,21,FALSE),"")</f>
        <v/>
      </c>
      <c r="AI9" s="88" t="str">
        <f>IF(VLOOKUP(convertString(AB9, "item"),Items!$A$14:$X$432,22,FALSE)&lt;&gt;"",VLOOKUP(convertString(AB9, "item"),Items!$A$14:$X$432,22,FALSE),"")</f>
        <v/>
      </c>
      <c r="AJ9" s="161" t="str">
        <f>IF(VLOOKUP(convertString(AB9, "item"),Items!$A$14:$X$432,23,FALSE)&lt;&gt;"",VLOOKUP(convertString(AB9, "item"),Items!$A$14:$X$432,23,FALSE),"")</f>
        <v/>
      </c>
      <c r="AK9" s="9" t="str">
        <f>IF(VLOOKUP(convertString(AB9, "item"),Items!$A$14:$X$432,24,FALSE)&lt;&gt;"",VLOOKUP(convertString(AB9, "item"),Items!$A$14:$X$432,24,FALSE),"")</f>
        <v/>
      </c>
      <c r="AL9" s="88" t="str">
        <f>IF(IF(convertString(AB9, "suffix")&lt;&gt;"",VLOOKUP(convertString(AB9, "suffix"),Items!$A$544:$Z$612,19,FALSE),"")&lt;&gt;"",IF(convertString(AB9, "suffix")&lt;&gt;"",VLOOKUP(convertString(AB9, "suffix"),Items!$A$544:$Z$612,19,FALSE),""),"")</f>
        <v/>
      </c>
      <c r="AM9" s="9" t="str">
        <f>IF(IF(convertString(AB9, "suffix")&lt;&gt;"",VLOOKUP(convertString(AB9, "suffix"),Items!$A$544:$Z$612,20,FALSE),"")&lt;&gt;"",IF(convertString(AB9, "suffix")&lt;&gt;"",VLOOKUP(convertString(AB9, "suffix"),Items!$A$544:$Z$612,20,FALSE),""),"")</f>
        <v/>
      </c>
      <c r="AN9" s="9" t="str">
        <f>IF(IF(convertString(AB9, "suffix")&lt;&gt;"",VLOOKUP(convertString(AB9, "suffix"),Items!$A$544:$Z$612,21,FALSE),"")&lt;&gt;"",IF(convertString(AB9, "suffix")&lt;&gt;"",VLOOKUP(convertString(AB9, "suffix"),Items!$A$544:$Z$612,21,FALSE),""),"")</f>
        <v/>
      </c>
      <c r="AO9" s="88" t="str">
        <f>IF(IF(convertString(AB9, "prefix")&lt;&gt;"",VLOOKUP(convertString(AB9, "prefix"),Items!$A$544:$Z$612,19,FALSE),"")&lt;&gt;"",IF(convertString(AB9, "prefix")&lt;&gt;"",VLOOKUP(convertString(AB9, "prefix"),Items!$A$544:$Z$612,19,FALSE),""),"")</f>
        <v/>
      </c>
      <c r="AP9" s="127" t="str">
        <f>IF(IF(convertString(AB9, "prefix")&lt;&gt;"",VLOOKUP(convertString(AB9, "prefix"),Items!$A$544:$Z$612,20,FALSE),"")&lt;&gt;"",IF(convertString(AB9, "prefix")&lt;&gt;"",VLOOKUP(convertString(AB9, "prefix"),Items!$A$544:$Z$612,20,FALSE),""),"")</f>
        <v/>
      </c>
      <c r="AQ9" s="1" t="str">
        <f>IF(IF(convertString(AB9, "prefix")&lt;&gt;"",VLOOKUP(convertString(AB9, "prefix"),Items!$A$544:$Z$612,21,FALSE),"")&lt;&gt;"",IF(convertString(AB9, "prefix")&lt;&gt;"",VLOOKUP(convertString(AB9, "prefix"),Items!$A$544:$Z$612,21,FALSE),""),"")</f>
        <v/>
      </c>
    </row>
    <row r="10" spans="1:43">
      <c r="A10" t="s">
        <v>377</v>
      </c>
      <c r="B10" t="s">
        <v>985</v>
      </c>
      <c r="C10" t="s">
        <v>986</v>
      </c>
      <c r="D10" s="109">
        <v>0.12</v>
      </c>
      <c r="E10" s="109">
        <v>0.02</v>
      </c>
      <c r="F10" s="40">
        <v>800</v>
      </c>
      <c r="G10" s="204">
        <v>0</v>
      </c>
      <c r="H10" s="109">
        <f>G10*E10</f>
        <v>0</v>
      </c>
      <c r="J10" s="9"/>
      <c r="K10" s="9"/>
      <c r="L10" s="102" t="s">
        <v>963</v>
      </c>
      <c r="M10" s="9"/>
      <c r="N10" s="175"/>
      <c r="O10" s="175"/>
      <c r="P10" s="175"/>
      <c r="AA10" s="172" t="s">
        <v>1146</v>
      </c>
      <c r="AB10" s="202"/>
      <c r="AC10" s="22" t="str">
        <f>IF(AB10&lt;&gt;"",VLOOKUP(AB10,Items!$A$616:$X$640,15,FALSE),"")</f>
        <v/>
      </c>
      <c r="AD10" s="22" t="str">
        <f>IF(AB10&lt;&gt;"",VLOOKUP(AB10,Items!$A$616:$X$640,16,FALSE),"")</f>
        <v/>
      </c>
      <c r="AE10" s="13" t="str">
        <f>IF(AB10&lt;&gt;"",VLOOKUP(AB10,Items!$A$616:$X$640,17,FALSE),"")</f>
        <v/>
      </c>
      <c r="AF10" s="127" t="str">
        <f>IF(AB10&lt;&gt;"",IF(VLOOKUP(AB10,Items!$A$616:$X$640,19,FALSE)&lt;&gt;0,VLOOKUP(AB10,Items!$A$616:$X$640,19,FALSE),""),"")</f>
        <v/>
      </c>
      <c r="AG10" s="161" t="str">
        <f>IF(AB10&lt;&gt;"",IF(VLOOKUP(AB10,Items!$A$616:$X$640,20,FALSE)&lt;&gt;0,VLOOKUP(AB10,Items!$A$616:$X$640,20,FALSE),""),"")</f>
        <v/>
      </c>
      <c r="AH10" s="9" t="str">
        <f>IF(AB10&lt;&gt;"",IF(VLOOKUP(AB10,Items!$A$616:$X$640,21,FALSE)&lt;&gt;0,VLOOKUP(AB10,Items!$A$616:$X$640,21,FALSE),""),"")</f>
        <v/>
      </c>
      <c r="AI10" s="88" t="str">
        <f>IF(AB10&lt;&gt;"",IF(VLOOKUP(AB10,Items!$A$616:$X$640,22,FALSE)&lt;&gt;0,VLOOKUP(AB10,Items!$A$616:$X$640,22,FALSE),""),"")</f>
        <v/>
      </c>
      <c r="AJ10" s="9" t="str">
        <f>IF(AB10&lt;&gt;"",IF(VLOOKUP(AB10,Items!$A$616:$X$640,23,FALSE)&lt;&gt;0,VLOOKUP(AB10,Items!$A$616:$X$640,23,FALSE),""),"")</f>
        <v/>
      </c>
      <c r="AK10" s="1" t="str">
        <f>IF(AB10&lt;&gt;"",IF(VLOOKUP(AB10,Items!$A$616:$X$640,24,FALSE)&lt;&gt;0,VLOOKUP(AB10,Items!$A$616:$X$640,24,FALSE),""),"")</f>
        <v/>
      </c>
      <c r="AL10" s="88"/>
      <c r="AM10" s="9"/>
      <c r="AN10" s="9"/>
      <c r="AO10" s="88"/>
      <c r="AP10" s="127"/>
      <c r="AQ10" s="1"/>
    </row>
    <row r="11" spans="1:43">
      <c r="A11" t="s">
        <v>396</v>
      </c>
      <c r="B11" t="s">
        <v>989</v>
      </c>
      <c r="C11" t="s">
        <v>990</v>
      </c>
      <c r="D11" s="109">
        <v>0.15</v>
      </c>
      <c r="E11" s="109">
        <v>0.03</v>
      </c>
      <c r="F11" s="40">
        <v>1000</v>
      </c>
      <c r="G11" s="204">
        <v>0</v>
      </c>
      <c r="H11" s="109">
        <f>G11*E11</f>
        <v>0</v>
      </c>
      <c r="J11" s="9"/>
      <c r="K11" s="9"/>
      <c r="L11" s="103" t="s">
        <v>964</v>
      </c>
      <c r="M11" s="9"/>
      <c r="N11" s="175"/>
      <c r="O11" s="175"/>
      <c r="P11" s="175"/>
      <c r="AA11" s="172" t="s">
        <v>1147</v>
      </c>
      <c r="AB11" s="202"/>
      <c r="AC11" s="22" t="str">
        <f>IF(AB11&lt;&gt;"",VLOOKUP(AB11,Items!$A$616:$X$640,15,FALSE),"")</f>
        <v/>
      </c>
      <c r="AD11" s="22" t="str">
        <f>IF(AB11&lt;&gt;"",VLOOKUP(AB11,Items!$A$616:$X$640,16,FALSE),"")</f>
        <v/>
      </c>
      <c r="AE11" s="13" t="str">
        <f>IF(AB11&lt;&gt;"",VLOOKUP(AB11,Items!$A$616:$X$640,17,FALSE),"")</f>
        <v/>
      </c>
      <c r="AF11" s="127" t="str">
        <f>IF(AB11&lt;&gt;"",IF(VLOOKUP(AB11,Items!$A$616:$X$640,19,FALSE)&lt;&gt;0,VLOOKUP(AB11,Items!$A$616:$X$640,19,FALSE),""),"")</f>
        <v/>
      </c>
      <c r="AG11" s="161" t="str">
        <f>IF(AB11&lt;&gt;"",IF(VLOOKUP(AB11,Items!$A$616:$X$640,20,FALSE)&lt;&gt;0,VLOOKUP(AB11,Items!$A$616:$X$640,20,FALSE),""),"")</f>
        <v/>
      </c>
      <c r="AH11" s="9" t="str">
        <f>IF(AB11&lt;&gt;"",IF(VLOOKUP(AB11,Items!$A$616:$X$640,21,FALSE)&lt;&gt;0,VLOOKUP(AB11,Items!$A$616:$X$640,21,FALSE),""),"")</f>
        <v/>
      </c>
      <c r="AI11" s="88" t="str">
        <f>IF(AB11&lt;&gt;"",IF(VLOOKUP(AB11,Items!$A$616:$X$640,22,FALSE)&lt;&gt;0,VLOOKUP(AB11,Items!$A$616:$X$640,22,FALSE),""),"")</f>
        <v/>
      </c>
      <c r="AJ11" s="9" t="str">
        <f>IF(AB11&lt;&gt;"",IF(VLOOKUP(AB11,Items!$A$616:$X$640,23,FALSE)&lt;&gt;0,VLOOKUP(AB11,Items!$A$616:$X$640,23,FALSE),""),"")</f>
        <v/>
      </c>
      <c r="AK11" s="1" t="str">
        <f>IF(AB11&lt;&gt;"",IF(VLOOKUP(AB11,Items!$A$616:$X$640,24,FALSE)&lt;&gt;0,VLOOKUP(AB11,Items!$A$616:$X$640,24,FALSE),""),"")</f>
        <v/>
      </c>
      <c r="AL11" s="88"/>
      <c r="AM11" s="9"/>
      <c r="AN11" s="9"/>
      <c r="AO11" s="88"/>
      <c r="AP11" s="127"/>
      <c r="AQ11" s="1"/>
    </row>
    <row r="12" spans="1:43">
      <c r="A12" t="s">
        <v>991</v>
      </c>
      <c r="B12" t="s">
        <v>992</v>
      </c>
      <c r="C12" t="s">
        <v>982</v>
      </c>
      <c r="D12" s="109">
        <v>0.16</v>
      </c>
      <c r="E12" s="109">
        <v>0.02</v>
      </c>
      <c r="F12" s="40" t="s">
        <v>993</v>
      </c>
      <c r="G12" s="204">
        <v>0</v>
      </c>
      <c r="H12" s="109">
        <f>G12*E12</f>
        <v>0</v>
      </c>
      <c r="J12" s="9"/>
      <c r="K12" s="9"/>
      <c r="L12" s="104" t="s">
        <v>965</v>
      </c>
      <c r="M12" s="9"/>
      <c r="N12" s="175"/>
      <c r="O12" s="175"/>
      <c r="P12" s="175"/>
      <c r="AA12" s="172" t="s">
        <v>1148</v>
      </c>
      <c r="AB12" s="201"/>
      <c r="AC12" s="22" t="str">
        <f>IF(AB12&lt;&gt;"",VLOOKUP(AB12,Items!$A$616:$X$640,15,FALSE),"")</f>
        <v/>
      </c>
      <c r="AD12" s="22" t="str">
        <f>IF(AB12&lt;&gt;"",VLOOKUP(AB12,Items!$A$616:$X$640,16,FALSE),"")</f>
        <v/>
      </c>
      <c r="AE12" s="13" t="str">
        <f>IF(AB12&lt;&gt;"",VLOOKUP(AB12,Items!$A$616:$X$640,17,FALSE),"")</f>
        <v/>
      </c>
      <c r="AF12" s="127" t="str">
        <f>IF(AB12&lt;&gt;"",IF(VLOOKUP(AB12,Items!$A$616:$X$640,19,FALSE)&lt;&gt;0,VLOOKUP(AB12,Items!$A$616:$X$640,19,FALSE),""),"")</f>
        <v/>
      </c>
      <c r="AG12" s="161" t="str">
        <f>IF(AB12&lt;&gt;"",IF(VLOOKUP(AB12,Items!$A$616:$X$640,20,FALSE)&lt;&gt;0,VLOOKUP(AB12,Items!$A$616:$X$640,20,FALSE),""),"")</f>
        <v/>
      </c>
      <c r="AH12" s="9" t="str">
        <f>IF(AB12&lt;&gt;"",IF(VLOOKUP(AB12,Items!$A$616:$X$640,21,FALSE)&lt;&gt;0,VLOOKUP(AB12,Items!$A$616:$X$640,21,FALSE),""),"")</f>
        <v/>
      </c>
      <c r="AI12" s="88" t="str">
        <f>IF(AB12&lt;&gt;"",IF(VLOOKUP(AB12,Items!$A$616:$X$640,22,FALSE)&lt;&gt;0,VLOOKUP(AB12,Items!$A$616:$X$640,22,FALSE),""),"")</f>
        <v/>
      </c>
      <c r="AJ12" s="9" t="str">
        <f>IF(AB12&lt;&gt;"",IF(VLOOKUP(AB12,Items!$A$616:$X$640,23,FALSE)&lt;&gt;0,VLOOKUP(AB12,Items!$A$616:$X$640,23,FALSE),""),"")</f>
        <v/>
      </c>
      <c r="AK12" s="1" t="str">
        <f>IF(AB12&lt;&gt;"",IF(VLOOKUP(AB12,Items!$A$616:$X$640,24,FALSE)&lt;&gt;0,VLOOKUP(AB12,Items!$A$616:$X$640,24,FALSE),""),"")</f>
        <v/>
      </c>
      <c r="AL12" s="88"/>
      <c r="AM12" s="9"/>
      <c r="AN12" s="9"/>
      <c r="AO12" s="88"/>
      <c r="AP12" s="127"/>
      <c r="AQ12" s="1"/>
    </row>
    <row r="13" spans="1:43">
      <c r="A13" t="s">
        <v>994</v>
      </c>
      <c r="B13" t="s">
        <v>995</v>
      </c>
      <c r="C13" t="s">
        <v>996</v>
      </c>
      <c r="D13" s="109">
        <v>0.16</v>
      </c>
      <c r="E13" s="109">
        <v>0.02</v>
      </c>
      <c r="F13" s="40" t="s">
        <v>993</v>
      </c>
      <c r="G13" s="204">
        <v>0</v>
      </c>
      <c r="H13" s="109">
        <f>G13*E13</f>
        <v>0</v>
      </c>
      <c r="J13" s="9"/>
      <c r="K13" s="9"/>
      <c r="L13" s="107" t="s">
        <v>966</v>
      </c>
      <c r="M13" s="9"/>
      <c r="N13" s="177"/>
      <c r="O13" s="175"/>
      <c r="P13" s="175"/>
      <c r="AA13" s="172" t="s">
        <v>1149</v>
      </c>
      <c r="AB13" s="201"/>
      <c r="AC13" s="22" t="str">
        <f>IF(AB13&lt;&gt;"",VLOOKUP(AB13,Items!$A$616:$X$640,15,FALSE),"")</f>
        <v/>
      </c>
      <c r="AD13" s="22" t="str">
        <f>IF(AB13&lt;&gt;"",VLOOKUP(AB13,Items!$A$616:$X$640,16,FALSE),"")</f>
        <v/>
      </c>
      <c r="AE13" s="13" t="str">
        <f>IF(AB13&lt;&gt;"",VLOOKUP(AB13,Items!$A$616:$X$640,17,FALSE),"")</f>
        <v/>
      </c>
      <c r="AF13" s="127" t="str">
        <f>IF(AB13&lt;&gt;"",IF(VLOOKUP(AB13,Items!$A$616:$X$640,19,FALSE)&lt;&gt;0,VLOOKUP(AB13,Items!$A$616:$X$640,19,FALSE),""),"")</f>
        <v/>
      </c>
      <c r="AG13" s="161" t="str">
        <f>IF(AB13&lt;&gt;"",IF(VLOOKUP(AB13,Items!$A$616:$X$640,20,FALSE)&lt;&gt;0,VLOOKUP(AB13,Items!$A$616:$X$640,20,FALSE),""),"")</f>
        <v/>
      </c>
      <c r="AH13" s="9" t="str">
        <f>IF(AB13&lt;&gt;"",IF(VLOOKUP(AB13,Items!$A$616:$X$640,21,FALSE)&lt;&gt;0,VLOOKUP(AB13,Items!$A$616:$X$640,21,FALSE),""),"")</f>
        <v/>
      </c>
      <c r="AI13" s="88" t="str">
        <f>IF(AB13&lt;&gt;"",IF(VLOOKUP(AB13,Items!$A$616:$X$640,22,FALSE)&lt;&gt;0,VLOOKUP(AB13,Items!$A$616:$X$640,22,FALSE),""),"")</f>
        <v/>
      </c>
      <c r="AJ13" s="9" t="str">
        <f>IF(AB13&lt;&gt;"",IF(VLOOKUP(AB13,Items!$A$616:$X$640,23,FALSE)&lt;&gt;0,VLOOKUP(AB13,Items!$A$616:$X$640,23,FALSE),""),"")</f>
        <v/>
      </c>
      <c r="AK13" s="1" t="str">
        <f>IF(AB13&lt;&gt;"",IF(VLOOKUP(AB13,Items!$A$616:$X$640,24,FALSE)&lt;&gt;0,VLOOKUP(AB13,Items!$A$616:$X$640,24,FALSE),""),"")</f>
        <v/>
      </c>
      <c r="AL13" s="88"/>
      <c r="AM13" s="9"/>
      <c r="AN13" s="9"/>
      <c r="AO13" s="88"/>
      <c r="AP13" s="127"/>
      <c r="AQ13" s="1"/>
    </row>
    <row r="14" spans="1:43">
      <c r="E14" s="109"/>
      <c r="F14" s="40"/>
      <c r="G14" s="98"/>
      <c r="H14" s="109"/>
      <c r="J14" s="9"/>
      <c r="K14" s="9"/>
      <c r="L14" s="105" t="s">
        <v>967</v>
      </c>
      <c r="M14" s="2"/>
      <c r="N14" s="177"/>
      <c r="O14" s="119"/>
      <c r="P14" s="175"/>
      <c r="AA14" s="172" t="s">
        <v>1150</v>
      </c>
      <c r="AB14" s="201"/>
      <c r="AC14" s="22" t="str">
        <f>IF(AB14&lt;&gt;"",VLOOKUP(AB14,Items!$A$616:$X$640,15,FALSE),"")</f>
        <v/>
      </c>
      <c r="AD14" s="22" t="str">
        <f>IF(AB14&lt;&gt;"",VLOOKUP(AB14,Items!$A$616:$X$640,16,FALSE),"")</f>
        <v/>
      </c>
      <c r="AE14" s="13" t="str">
        <f>IF(AB14&lt;&gt;"",VLOOKUP(AB14,Items!$A$616:$X$640,17,FALSE),"")</f>
        <v/>
      </c>
      <c r="AF14" s="127" t="str">
        <f>IF(AB14&lt;&gt;"",IF(VLOOKUP(AB14,Items!$A$616:$X$640,19,FALSE)&lt;&gt;0,VLOOKUP(AB14,Items!$A$616:$X$640,19,FALSE),""),"")</f>
        <v/>
      </c>
      <c r="AG14" s="161" t="str">
        <f>IF(AB14&lt;&gt;"",IF(VLOOKUP(AB14,Items!$A$616:$X$640,20,FALSE)&lt;&gt;0,VLOOKUP(AB14,Items!$A$616:$X$640,20,FALSE),""),"")</f>
        <v/>
      </c>
      <c r="AH14" s="9" t="str">
        <f>IF(AB14&lt;&gt;"",IF(VLOOKUP(AB14,Items!$A$616:$X$640,21,FALSE)&lt;&gt;0,VLOOKUP(AB14,Items!$A$616:$X$640,21,FALSE),""),"")</f>
        <v/>
      </c>
      <c r="AI14" s="88" t="str">
        <f>IF(AB14&lt;&gt;"",IF(VLOOKUP(AB14,Items!$A$616:$X$640,22,FALSE)&lt;&gt;0,VLOOKUP(AB14,Items!$A$616:$X$640,22,FALSE),""),"")</f>
        <v/>
      </c>
      <c r="AJ14" s="9" t="str">
        <f>IF(AB14&lt;&gt;"",IF(VLOOKUP(AB14,Items!$A$616:$X$640,23,FALSE)&lt;&gt;0,VLOOKUP(AB14,Items!$A$616:$X$640,23,FALSE),""),"")</f>
        <v/>
      </c>
      <c r="AK14" s="1" t="str">
        <f>IF(AB14&lt;&gt;"",IF(VLOOKUP(AB14,Items!$A$616:$X$640,24,FALSE)&lt;&gt;0,VLOOKUP(AB14,Items!$A$616:$X$640,24,FALSE),""),"")</f>
        <v/>
      </c>
      <c r="AL14" s="88"/>
      <c r="AM14" s="9"/>
      <c r="AN14" s="9"/>
      <c r="AO14" s="88"/>
      <c r="AP14" s="127"/>
      <c r="AQ14" s="1"/>
    </row>
    <row r="15" spans="1:43">
      <c r="A15" t="s">
        <v>997</v>
      </c>
      <c r="F15" t="s">
        <v>998</v>
      </c>
      <c r="J15" s="9"/>
      <c r="K15" s="9"/>
      <c r="L15" s="106" t="s">
        <v>968</v>
      </c>
      <c r="M15" s="9"/>
      <c r="N15" s="174"/>
      <c r="O15" s="9"/>
      <c r="P15" s="9"/>
      <c r="AA15" s="172" t="s">
        <v>1151</v>
      </c>
      <c r="AB15" s="201"/>
      <c r="AC15" s="22" t="str">
        <f>IF(AB15&lt;&gt;"",VLOOKUP(AB15,Items!$A$616:$X$640,15,FALSE),"")</f>
        <v/>
      </c>
      <c r="AD15" s="22" t="str">
        <f>IF(AB15&lt;&gt;"",VLOOKUP(AB15,Items!$A$616:$X$640,16,FALSE),"")</f>
        <v/>
      </c>
      <c r="AE15" s="13" t="str">
        <f>IF(AB15&lt;&gt;"",VLOOKUP(AB15,Items!$A$616:$X$640,17,FALSE),"")</f>
        <v/>
      </c>
      <c r="AF15" s="127" t="str">
        <f>IF(AB15&lt;&gt;"",IF(VLOOKUP(AB15,Items!$A$616:$X$640,19,FALSE)&lt;&gt;0,VLOOKUP(AB15,Items!$A$616:$X$640,19,FALSE),""),"")</f>
        <v/>
      </c>
      <c r="AG15" s="161" t="str">
        <f>IF(AB15&lt;&gt;"",IF(VLOOKUP(AB15,Items!$A$616:$X$640,20,FALSE)&lt;&gt;0,VLOOKUP(AB15,Items!$A$616:$X$640,20,FALSE),""),"")</f>
        <v/>
      </c>
      <c r="AH15" s="9" t="str">
        <f>IF(AB15&lt;&gt;"",IF(VLOOKUP(AB15,Items!$A$616:$X$640,21,FALSE)&lt;&gt;0,VLOOKUP(AB15,Items!$A$616:$X$640,21,FALSE),""),"")</f>
        <v/>
      </c>
      <c r="AI15" s="88" t="str">
        <f>IF(AB15&lt;&gt;"",IF(VLOOKUP(AB15,Items!$A$616:$X$640,22,FALSE)&lt;&gt;0,VLOOKUP(AB15,Items!$A$616:$X$640,22,FALSE),""),"")</f>
        <v/>
      </c>
      <c r="AJ15" s="9" t="str">
        <f>IF(AB15&lt;&gt;"",IF(VLOOKUP(AB15,Items!$A$616:$X$640,23,FALSE)&lt;&gt;0,VLOOKUP(AB15,Items!$A$616:$X$640,23,FALSE),""),"")</f>
        <v/>
      </c>
      <c r="AK15" s="1" t="str">
        <f>IF(AB15&lt;&gt;"",IF(VLOOKUP(AB15,Items!$A$616:$X$640,24,FALSE)&lt;&gt;0,VLOOKUP(AB15,Items!$A$616:$X$640,24,FALSE),""),"")</f>
        <v/>
      </c>
      <c r="AL15" s="88"/>
      <c r="AM15" s="9"/>
      <c r="AN15" s="9"/>
      <c r="AO15" s="88"/>
      <c r="AP15" s="127"/>
      <c r="AQ15" s="1"/>
    </row>
    <row r="16" spans="1:43">
      <c r="B16" s="68" t="s">
        <v>984</v>
      </c>
      <c r="C16" s="39" t="s">
        <v>983</v>
      </c>
      <c r="D16" s="68" t="s">
        <v>567</v>
      </c>
      <c r="G16" s="68" t="s">
        <v>984</v>
      </c>
      <c r="H16" s="39" t="s">
        <v>983</v>
      </c>
      <c r="I16" s="68" t="s">
        <v>567</v>
      </c>
      <c r="L16" s="9"/>
      <c r="M16" s="174"/>
      <c r="N16" s="174"/>
      <c r="O16" s="9"/>
      <c r="P16" s="9"/>
      <c r="Q16" s="9"/>
      <c r="S16" s="9"/>
      <c r="T16" s="9"/>
      <c r="U16" s="9"/>
      <c r="V16" s="9"/>
      <c r="W16" s="9"/>
      <c r="AA16" s="46" t="s">
        <v>570</v>
      </c>
      <c r="AB16" s="201" t="s">
        <v>1145</v>
      </c>
      <c r="AC16" s="22">
        <f>IF(convertString(AB16, "prefix")&lt;&gt;"",VLOOKUP(convertString(AB16, "prefix"),Items!$A$544:$Z$612,15,FALSE),0) + IF(convertString(AB16, "item")&lt;&gt;"",VLOOKUP(convertString(AB16, "item"),Items!$A$14:$X$432,15,FALSE),0) + IF(convertString(AB16, "suffix")&lt;&gt;"",VLOOKUP(convertString(AB16, "suffix"),Items!$A$544:$Z$612,15,FALSE),0) + SUM(AC17:AC22)</f>
        <v>0</v>
      </c>
      <c r="AD16" s="22">
        <f>IF(convertString(AB16, "prefix")&lt;&gt;"",VLOOKUP(convertString(AB16, "prefix"),Items!$A$544:$Z$612,16,FALSE),0) + IF(convertString(AB16, "item")&lt;&gt;"",VLOOKUP(convertString(AB16, "item"),Items!$A$14:$X$432,16,FALSE),0) + IF(convertString(AB16, "suffix")&lt;&gt;"",VLOOKUP(convertString(AB16, "suffix"),Items!$A$544:$Z$612,16,FALSE),0)+SUM(AD17:AD22)</f>
        <v>0</v>
      </c>
      <c r="AE16" s="22">
        <f>IF(convertString(AB16, "prefix")&lt;&gt;"",VLOOKUP(convertString(AB16, "prefix"),Items!$A$544:$Z$612,17,FALSE),0) + IF(convertString(AB16, "item")&lt;&gt;"",VLOOKUP(convertString(AB16, "item"),Items!$A$14:$X$432,17,FALSE),0) + IF(convertString(AB16, "suffix")&lt;&gt;"",VLOOKUP(convertString(AB16, "suffix"),Items!$A$544:$Z$612,17,FALSE),0)+SUM(AE17:AE22)</f>
        <v>0</v>
      </c>
      <c r="AF16" s="88" t="str">
        <f>IF(VLOOKUP(convertString(AB16, "item"),Items!$A$14:$X$432,19,FALSE)&lt;&gt;"",VLOOKUP(convertString(AB16, "item"),Items!$A$14:$X$432,19,FALSE),"")</f>
        <v/>
      </c>
      <c r="AG16" s="118" t="str">
        <f>IF(VLOOKUP(convertString(AB16, "item"),Items!$A$14:$X$432,20,FALSE)&lt;&gt;0,VLOOKUP(convertString(AB16, "item"),Items!$A$14:$X$432,20,FALSE),"")</f>
        <v/>
      </c>
      <c r="AH16" s="9" t="str">
        <f>IF(VLOOKUP(convertString(AB16, "item"),Items!$A$14:$X$432,21,FALSE)&lt;&gt;"",VLOOKUP(convertString(AB16, "item"),Items!$A$14:$X$432,21,FALSE),"")</f>
        <v/>
      </c>
      <c r="AI16" s="88" t="str">
        <f>IF(VLOOKUP(convertString(AB16, "item"),Items!$A$14:$X$432,22,FALSE)&lt;&gt;"",VLOOKUP(convertString(AB16, "item"),Items!$A$14:$X$432,22,FALSE),"")</f>
        <v/>
      </c>
      <c r="AJ16" s="161" t="str">
        <f>IF(VLOOKUP(convertString(AB16, "item"),Items!$A$14:$X$432,23,FALSE)&lt;&gt;"",VLOOKUP(convertString(AB16, "item"),Items!$A$14:$X$432,23,FALSE),"")</f>
        <v/>
      </c>
      <c r="AK16" s="9" t="str">
        <f>IF(VLOOKUP(convertString(AB16, "item"),Items!$A$14:$X$432,24,FALSE)&lt;&gt;"",VLOOKUP(convertString(AB16, "item"),Items!$A$14:$X$432,24,FALSE),"")</f>
        <v/>
      </c>
      <c r="AL16" s="88" t="str">
        <f>IF(IF(convertString(AB16, "suffix")&lt;&gt;"",VLOOKUP(convertString(AB16, "suffix"),Items!$A$544:$Z$612,19,FALSE),"")&lt;&gt;"",IF(convertString(AB16, "suffix")&lt;&gt;"",VLOOKUP(convertString(AB16, "suffix"),Items!$A$544:$Z$612,19,FALSE),""),"")</f>
        <v/>
      </c>
      <c r="AM16" s="9" t="str">
        <f>IF(IF(convertString(AB16, "suffix")&lt;&gt;"",VLOOKUP(convertString(AB16, "suffix"),Items!$A$544:$Z$612,20,FALSE),"")&lt;&gt;"",IF(convertString(AB16, "suffix")&lt;&gt;"",VLOOKUP(convertString(AB16, "suffix"),Items!$A$544:$Z$612,20,FALSE),""),"")</f>
        <v/>
      </c>
      <c r="AN16" s="9" t="str">
        <f>IF(IF(convertString(AB16, "suffix")&lt;&gt;"",VLOOKUP(convertString(AB16, "suffix"),Items!$A$544:$Z$612,21,FALSE),"")&lt;&gt;"",IF(convertString(AB16, "suffix")&lt;&gt;"",VLOOKUP(convertString(AB16, "suffix"),Items!$A$544:$Z$612,21,FALSE),""),"")</f>
        <v/>
      </c>
      <c r="AO16" s="88" t="str">
        <f>IF(IF(convertString(AB16, "prefix")&lt;&gt;"",VLOOKUP(convertString(AB16, "prefix"),Items!$A$544:$Z$612,19,FALSE),"")&lt;&gt;"",IF(convertString(AB16, "prefix")&lt;&gt;"",VLOOKUP(convertString(AB16, "prefix"),Items!$A$544:$Z$612,19,FALSE),""),"")</f>
        <v/>
      </c>
      <c r="AP16" s="127" t="str">
        <f>IF(IF(convertString(AB16, "prefix")&lt;&gt;"",VLOOKUP(convertString(AB16, "prefix"),Items!$A$544:$Z$612,20,FALSE),"")&lt;&gt;"",IF(convertString(AB16, "prefix")&lt;&gt;"",VLOOKUP(convertString(AB16, "prefix"),Items!$A$544:$Z$612,20,FALSE),""),"")</f>
        <v/>
      </c>
      <c r="AQ16" s="1" t="str">
        <f>IF(IF(convertString(AB16, "prefix")&lt;&gt;"",VLOOKUP(convertString(AB16, "prefix"),Items!$A$544:$Z$612,21,FALSE),"")&lt;&gt;"",IF(convertString(AB16, "prefix")&lt;&gt;"",VLOOKUP(convertString(AB16, "prefix"),Items!$A$544:$Z$612,21,FALSE),""),"")</f>
        <v/>
      </c>
    </row>
    <row r="17" spans="1:43">
      <c r="A17" s="39" t="s">
        <v>561</v>
      </c>
      <c r="B17" s="110">
        <f>D3+D13+D9</f>
        <v>0.38</v>
      </c>
      <c r="C17" s="110">
        <f>D6</f>
        <v>0.12</v>
      </c>
      <c r="D17" s="110">
        <f>D10+D12+D8</f>
        <v>0.38</v>
      </c>
      <c r="F17" s="39" t="s">
        <v>561</v>
      </c>
      <c r="G17" s="110">
        <f>H3</f>
        <v>0.03</v>
      </c>
      <c r="H17" s="110">
        <f>H6</f>
        <v>0</v>
      </c>
      <c r="I17" s="110">
        <f>H10</f>
        <v>0</v>
      </c>
      <c r="L17" s="9"/>
      <c r="M17" s="23"/>
      <c r="N17" s="178"/>
      <c r="O17" s="9"/>
      <c r="P17" s="9"/>
      <c r="Q17" s="99"/>
      <c r="R17" s="31"/>
      <c r="S17" s="31"/>
      <c r="T17" s="9"/>
      <c r="U17" s="9"/>
      <c r="V17" s="9"/>
      <c r="W17" s="9"/>
      <c r="AA17" s="172" t="s">
        <v>1146</v>
      </c>
      <c r="AB17" s="201"/>
      <c r="AC17" s="22" t="str">
        <f>IF(AB17&lt;&gt;"",VLOOKUP(AB17,Items!$A$616:$X$640,15,FALSE),"")</f>
        <v/>
      </c>
      <c r="AD17" s="22" t="str">
        <f>IF(AB17&lt;&gt;"",VLOOKUP(AB17,Items!$A$616:$X$640,16,FALSE),"")</f>
        <v/>
      </c>
      <c r="AE17" s="13" t="str">
        <f>IF(AB17&lt;&gt;"",VLOOKUP(AB17,Items!$A$616:$X$640,17,FALSE),"")</f>
        <v/>
      </c>
      <c r="AF17" s="127" t="str">
        <f>IF(AB17&lt;&gt;"",IF(VLOOKUP(AB17,Items!$A$616:$X$640,19,FALSE)&lt;&gt;0,VLOOKUP(AB17,Items!$A$616:$X$640,19,FALSE),""),"")</f>
        <v/>
      </c>
      <c r="AG17" s="161" t="str">
        <f>IF(AB17&lt;&gt;"",IF(VLOOKUP(AB17,Items!$A$616:$X$640,20,FALSE)&lt;&gt;0,VLOOKUP(AB17,Items!$A$616:$X$640,20,FALSE),""),"")</f>
        <v/>
      </c>
      <c r="AH17" s="9" t="str">
        <f>IF(AB17&lt;&gt;"",IF(VLOOKUP(AB17,Items!$A$616:$X$640,21,FALSE)&lt;&gt;0,VLOOKUP(AB17,Items!$A$616:$X$640,21,FALSE),""),"")</f>
        <v/>
      </c>
      <c r="AI17" s="88" t="str">
        <f>IF(AB17&lt;&gt;"",IF(VLOOKUP(AB17,Items!$A$616:$X$640,22,FALSE)&lt;&gt;0,VLOOKUP(AB17,Items!$A$616:$X$640,22,FALSE),""),"")</f>
        <v/>
      </c>
      <c r="AJ17" s="9" t="str">
        <f>IF(AB17&lt;&gt;"",IF(VLOOKUP(AB17,Items!$A$616:$X$640,23,FALSE)&lt;&gt;0,VLOOKUP(AB17,Items!$A$616:$X$640,23,FALSE),""),"")</f>
        <v/>
      </c>
      <c r="AK17" s="1" t="str">
        <f>IF(AB17&lt;&gt;"",IF(VLOOKUP(AB17,Items!$A$616:$X$640,24,FALSE)&lt;&gt;0,VLOOKUP(AB17,Items!$A$616:$X$640,24,FALSE),""),"")</f>
        <v/>
      </c>
      <c r="AL17" s="88"/>
      <c r="AM17" s="9"/>
      <c r="AN17" s="9"/>
      <c r="AO17" s="88"/>
      <c r="AP17" s="127"/>
      <c r="AQ17" s="1"/>
    </row>
    <row r="18" spans="1:43">
      <c r="A18" s="39" t="s">
        <v>562</v>
      </c>
      <c r="B18" s="110">
        <f>D5+D13+D9</f>
        <v>0.43000000000000005</v>
      </c>
      <c r="C18" s="110">
        <f>D5</f>
        <v>0.17</v>
      </c>
      <c r="D18" s="110">
        <f>D5+D12+D8</f>
        <v>0.43000000000000005</v>
      </c>
      <c r="F18" s="39" t="s">
        <v>562</v>
      </c>
      <c r="G18" s="110">
        <f>H5</f>
        <v>0</v>
      </c>
      <c r="H18" s="110">
        <f>H5</f>
        <v>0</v>
      </c>
      <c r="I18" s="110">
        <f>H5</f>
        <v>0</v>
      </c>
      <c r="L18" s="126"/>
      <c r="M18" s="179"/>
      <c r="N18" s="178"/>
      <c r="O18" s="9"/>
      <c r="P18" s="9"/>
      <c r="Q18" s="101"/>
      <c r="R18" s="31"/>
      <c r="S18" s="31"/>
      <c r="T18" s="9"/>
      <c r="U18" s="9"/>
      <c r="V18" s="9"/>
      <c r="W18" s="9"/>
      <c r="AA18" s="172" t="s">
        <v>1147</v>
      </c>
      <c r="AB18" s="201"/>
      <c r="AC18" s="22" t="str">
        <f>IF(AB18&lt;&gt;"",VLOOKUP(AB18,Items!$A$616:$X$640,15,FALSE),"")</f>
        <v/>
      </c>
      <c r="AD18" s="22" t="str">
        <f>IF(AB18&lt;&gt;"",VLOOKUP(AB18,Items!$A$616:$X$640,16,FALSE),"")</f>
        <v/>
      </c>
      <c r="AE18" s="13" t="str">
        <f>IF(AB18&lt;&gt;"",VLOOKUP(AB18,Items!$A$616:$X$640,17,FALSE),"")</f>
        <v/>
      </c>
      <c r="AF18" s="127" t="str">
        <f>IF(AB18&lt;&gt;"",IF(VLOOKUP(AB18,Items!$A$616:$X$640,19,FALSE)&lt;&gt;0,VLOOKUP(AB18,Items!$A$616:$X$640,19,FALSE),""),"")</f>
        <v/>
      </c>
      <c r="AG18" s="161" t="str">
        <f>IF(AB18&lt;&gt;"",IF(VLOOKUP(AB18,Items!$A$616:$X$640,20,FALSE)&lt;&gt;0,VLOOKUP(AB18,Items!$A$616:$X$640,20,FALSE),""),"")</f>
        <v/>
      </c>
      <c r="AH18" s="9" t="str">
        <f>IF(AB18&lt;&gt;"",IF(VLOOKUP(AB18,Items!$A$616:$X$640,21,FALSE)&lt;&gt;0,VLOOKUP(AB18,Items!$A$616:$X$640,21,FALSE),""),"")</f>
        <v/>
      </c>
      <c r="AI18" s="88" t="str">
        <f>IF(AB18&lt;&gt;"",IF(VLOOKUP(AB18,Items!$A$616:$X$640,22,FALSE)&lt;&gt;0,VLOOKUP(AB18,Items!$A$616:$X$640,22,FALSE),""),"")</f>
        <v/>
      </c>
      <c r="AJ18" s="9" t="str">
        <f>IF(AB18&lt;&gt;"",IF(VLOOKUP(AB18,Items!$A$616:$X$640,23,FALSE)&lt;&gt;0,VLOOKUP(AB18,Items!$A$616:$X$640,23,FALSE),""),"")</f>
        <v/>
      </c>
      <c r="AK18" s="1" t="str">
        <f>IF(AB18&lt;&gt;"",IF(VLOOKUP(AB18,Items!$A$616:$X$640,24,FALSE)&lt;&gt;0,VLOOKUP(AB18,Items!$A$616:$X$640,24,FALSE),""),"")</f>
        <v/>
      </c>
      <c r="AL18" s="88"/>
      <c r="AM18" s="9"/>
      <c r="AN18" s="9"/>
      <c r="AO18" s="88"/>
      <c r="AP18" s="127"/>
      <c r="AQ18" s="1"/>
    </row>
    <row r="19" spans="1:43">
      <c r="A19" s="39" t="s">
        <v>627</v>
      </c>
      <c r="B19" s="110">
        <f>D4+D13+D9</f>
        <v>0.41000000000000003</v>
      </c>
      <c r="C19" s="110">
        <f>D4</f>
        <v>0.15</v>
      </c>
      <c r="D19" s="110">
        <f>D4+D12+D8</f>
        <v>0.41000000000000003</v>
      </c>
      <c r="F19" s="39" t="s">
        <v>627</v>
      </c>
      <c r="G19" s="110">
        <f>H4</f>
        <v>0</v>
      </c>
      <c r="H19" s="110">
        <f>H4</f>
        <v>0</v>
      </c>
      <c r="I19" s="110">
        <f>H4</f>
        <v>0</v>
      </c>
      <c r="L19" s="9"/>
      <c r="M19" s="9"/>
      <c r="N19" s="9"/>
      <c r="O19" s="9"/>
      <c r="P19" s="9"/>
      <c r="Q19" s="52"/>
      <c r="R19" s="31"/>
      <c r="S19" s="31"/>
      <c r="T19" s="9"/>
      <c r="U19" s="9"/>
      <c r="V19" s="9"/>
      <c r="W19" s="9"/>
      <c r="AA19" s="172" t="s">
        <v>1148</v>
      </c>
      <c r="AB19" s="201"/>
      <c r="AC19" s="22" t="str">
        <f>IF(AB19&lt;&gt;"",VLOOKUP(AB19,Items!$A$616:$X$640,15,FALSE),"")</f>
        <v/>
      </c>
      <c r="AD19" s="22" t="str">
        <f>IF(AB19&lt;&gt;"",VLOOKUP(AB19,Items!$A$616:$X$640,16,FALSE),"")</f>
        <v/>
      </c>
      <c r="AE19" s="13" t="str">
        <f>IF(AB19&lt;&gt;"",VLOOKUP(AB19,Items!$A$616:$X$640,17,FALSE),"")</f>
        <v/>
      </c>
      <c r="AF19" s="127" t="str">
        <f>IF(AB19&lt;&gt;"",IF(VLOOKUP(AB19,Items!$A$616:$X$640,19,FALSE)&lt;&gt;0,VLOOKUP(AB19,Items!$A$616:$X$640,19,FALSE),""),"")</f>
        <v/>
      </c>
      <c r="AG19" s="161" t="str">
        <f>IF(AB19&lt;&gt;"",IF(VLOOKUP(AB19,Items!$A$616:$X$640,20,FALSE)&lt;&gt;0,VLOOKUP(AB19,Items!$A$616:$X$640,20,FALSE),""),"")</f>
        <v/>
      </c>
      <c r="AH19" s="9" t="str">
        <f>IF(AB19&lt;&gt;"",IF(VLOOKUP(AB19,Items!$A$616:$X$640,21,FALSE)&lt;&gt;0,VLOOKUP(AB19,Items!$A$616:$X$640,21,FALSE),""),"")</f>
        <v/>
      </c>
      <c r="AI19" s="88" t="str">
        <f>IF(AB19&lt;&gt;"",IF(VLOOKUP(AB19,Items!$A$616:$X$640,22,FALSE)&lt;&gt;0,VLOOKUP(AB19,Items!$A$616:$X$640,22,FALSE),""),"")</f>
        <v/>
      </c>
      <c r="AJ19" s="9" t="str">
        <f>IF(AB19&lt;&gt;"",IF(VLOOKUP(AB19,Items!$A$616:$X$640,23,FALSE)&lt;&gt;0,VLOOKUP(AB19,Items!$A$616:$X$640,23,FALSE),""),"")</f>
        <v/>
      </c>
      <c r="AK19" s="1" t="str">
        <f>IF(AB19&lt;&gt;"",IF(VLOOKUP(AB19,Items!$A$616:$X$640,24,FALSE)&lt;&gt;0,VLOOKUP(AB19,Items!$A$616:$X$640,24,FALSE),""),"")</f>
        <v/>
      </c>
      <c r="AL19" s="88"/>
      <c r="AM19" s="9"/>
      <c r="AN19" s="9"/>
      <c r="AO19" s="88"/>
      <c r="AP19" s="127"/>
      <c r="AQ19" s="1"/>
    </row>
    <row r="20" spans="1:43">
      <c r="A20" s="39" t="s">
        <v>629</v>
      </c>
      <c r="B20" s="110">
        <f>D7+D13+D9</f>
        <v>0.41000000000000003</v>
      </c>
      <c r="C20" s="110">
        <f>D7</f>
        <v>0.15</v>
      </c>
      <c r="D20" s="110">
        <f>D7+D12+D8</f>
        <v>0.41000000000000003</v>
      </c>
      <c r="F20" s="39" t="s">
        <v>629</v>
      </c>
      <c r="G20" s="110">
        <f>H7</f>
        <v>0</v>
      </c>
      <c r="H20" s="110">
        <f>H7</f>
        <v>0</v>
      </c>
      <c r="I20" s="110">
        <f>H7</f>
        <v>0</v>
      </c>
      <c r="L20" s="9"/>
      <c r="M20" s="9"/>
      <c r="N20" s="9"/>
      <c r="O20" s="9"/>
      <c r="P20" s="9"/>
      <c r="Q20" s="23"/>
      <c r="R20" s="9"/>
      <c r="S20" s="9"/>
      <c r="T20" s="9"/>
      <c r="U20" s="9"/>
      <c r="V20" s="9"/>
      <c r="W20" s="9"/>
      <c r="AA20" s="172" t="s">
        <v>1149</v>
      </c>
      <c r="AB20" s="201"/>
      <c r="AC20" s="22" t="str">
        <f>IF(AB20&lt;&gt;"",VLOOKUP(AB20,Items!$A$616:$X$640,15,FALSE),"")</f>
        <v/>
      </c>
      <c r="AD20" s="22" t="str">
        <f>IF(AB20&lt;&gt;"",VLOOKUP(AB20,Items!$A$616:$X$640,16,FALSE),"")</f>
        <v/>
      </c>
      <c r="AE20" s="13" t="str">
        <f>IF(AB20&lt;&gt;"",VLOOKUP(AB20,Items!$A$616:$X$640,17,FALSE),"")</f>
        <v/>
      </c>
      <c r="AF20" s="127" t="str">
        <f>IF(AB20&lt;&gt;"",IF(VLOOKUP(AB20,Items!$A$616:$X$640,19,FALSE)&lt;&gt;0,VLOOKUP(AB20,Items!$A$616:$X$640,19,FALSE),""),"")</f>
        <v/>
      </c>
      <c r="AG20" s="161" t="str">
        <f>IF(AB20&lt;&gt;"",IF(VLOOKUP(AB20,Items!$A$616:$X$640,20,FALSE)&lt;&gt;0,VLOOKUP(AB20,Items!$A$616:$X$640,20,FALSE),""),"")</f>
        <v/>
      </c>
      <c r="AH20" s="9" t="str">
        <f>IF(AB20&lt;&gt;"",IF(VLOOKUP(AB20,Items!$A$616:$X$640,21,FALSE)&lt;&gt;0,VLOOKUP(AB20,Items!$A$616:$X$640,21,FALSE),""),"")</f>
        <v/>
      </c>
      <c r="AI20" s="88" t="str">
        <f>IF(AB20&lt;&gt;"",IF(VLOOKUP(AB20,Items!$A$616:$X$640,22,FALSE)&lt;&gt;0,VLOOKUP(AB20,Items!$A$616:$X$640,22,FALSE),""),"")</f>
        <v/>
      </c>
      <c r="AJ20" s="9" t="str">
        <f>IF(AB20&lt;&gt;"",IF(VLOOKUP(AB20,Items!$A$616:$X$640,23,FALSE)&lt;&gt;0,VLOOKUP(AB20,Items!$A$616:$X$640,23,FALSE),""),"")</f>
        <v/>
      </c>
      <c r="AK20" s="1" t="str">
        <f>IF(AB20&lt;&gt;"",IF(VLOOKUP(AB20,Items!$A$616:$X$640,24,FALSE)&lt;&gt;0,VLOOKUP(AB20,Items!$A$616:$X$640,24,FALSE),""),"")</f>
        <v/>
      </c>
      <c r="AL20" s="88"/>
      <c r="AM20" s="9"/>
      <c r="AN20" s="9"/>
      <c r="AO20" s="88"/>
      <c r="AP20" s="127"/>
      <c r="AQ20" s="1"/>
    </row>
    <row r="21" spans="1:43">
      <c r="A21" s="39" t="s">
        <v>626</v>
      </c>
      <c r="B21" s="110">
        <f>D11+D13+D9</f>
        <v>0.41000000000000003</v>
      </c>
      <c r="C21" s="110">
        <f>D11</f>
        <v>0.15</v>
      </c>
      <c r="D21" s="110">
        <f>D11+D12+D8</f>
        <v>0.41000000000000003</v>
      </c>
      <c r="F21" s="39" t="s">
        <v>626</v>
      </c>
      <c r="G21" s="110">
        <f>H11</f>
        <v>0</v>
      </c>
      <c r="H21" s="110">
        <f>H11</f>
        <v>0</v>
      </c>
      <c r="I21" s="110">
        <f>H11</f>
        <v>0</v>
      </c>
      <c r="L21" s="9"/>
      <c r="M21" s="173"/>
      <c r="N21" s="9"/>
      <c r="O21" s="9"/>
      <c r="P21" s="9"/>
      <c r="Q21" s="9"/>
      <c r="R21" s="9"/>
      <c r="S21" s="9"/>
      <c r="T21" s="9"/>
      <c r="U21" s="9"/>
      <c r="V21" s="9"/>
      <c r="W21" s="9"/>
      <c r="AA21" s="172" t="s">
        <v>1150</v>
      </c>
      <c r="AB21" s="201"/>
      <c r="AC21" s="22" t="str">
        <f>IF(AB21&lt;&gt;"",VLOOKUP(AB21,Items!$A$616:$X$640,15,FALSE),"")</f>
        <v/>
      </c>
      <c r="AD21" s="22" t="str">
        <f>IF(AB21&lt;&gt;"",VLOOKUP(AB21,Items!$A$616:$X$640,16,FALSE),"")</f>
        <v/>
      </c>
      <c r="AE21" s="13" t="str">
        <f>IF(AB21&lt;&gt;"",VLOOKUP(AB21,Items!$A$616:$X$640,17,FALSE),"")</f>
        <v/>
      </c>
      <c r="AF21" s="127" t="str">
        <f>IF(AB21&lt;&gt;"",IF(VLOOKUP(AB21,Items!$A$616:$X$640,19,FALSE)&lt;&gt;0,VLOOKUP(AB21,Items!$A$616:$X$640,19,FALSE),""),"")</f>
        <v/>
      </c>
      <c r="AG21" s="161" t="str">
        <f>IF(AB21&lt;&gt;"",IF(VLOOKUP(AB21,Items!$A$616:$X$640,20,FALSE)&lt;&gt;0,VLOOKUP(AB21,Items!$A$616:$X$640,20,FALSE),""),"")</f>
        <v/>
      </c>
      <c r="AH21" s="9" t="str">
        <f>IF(AB21&lt;&gt;"",IF(VLOOKUP(AB21,Items!$A$616:$X$640,21,FALSE)&lt;&gt;0,VLOOKUP(AB21,Items!$A$616:$X$640,21,FALSE),""),"")</f>
        <v/>
      </c>
      <c r="AI21" s="88" t="str">
        <f>IF(AB21&lt;&gt;"",IF(VLOOKUP(AB21,Items!$A$616:$X$640,22,FALSE)&lt;&gt;0,VLOOKUP(AB21,Items!$A$616:$X$640,22,FALSE),""),"")</f>
        <v/>
      </c>
      <c r="AJ21" s="9" t="str">
        <f>IF(AB21&lt;&gt;"",IF(VLOOKUP(AB21,Items!$A$616:$X$640,23,FALSE)&lt;&gt;0,VLOOKUP(AB21,Items!$A$616:$X$640,23,FALSE),""),"")</f>
        <v/>
      </c>
      <c r="AK21" s="1" t="str">
        <f>IF(AB21&lt;&gt;"",IF(VLOOKUP(AB21,Items!$A$616:$X$640,24,FALSE)&lt;&gt;0,VLOOKUP(AB21,Items!$A$616:$X$640,24,FALSE),""),"")</f>
        <v/>
      </c>
      <c r="AL21" s="88"/>
      <c r="AM21" s="9"/>
      <c r="AN21" s="9"/>
      <c r="AO21" s="88"/>
      <c r="AP21" s="127"/>
      <c r="AQ21" s="1"/>
    </row>
    <row r="22" spans="1:43">
      <c r="F22" s="39" t="s">
        <v>1024</v>
      </c>
      <c r="G22" s="110">
        <f>H13+H9</f>
        <v>0</v>
      </c>
      <c r="H22" s="108">
        <v>0</v>
      </c>
      <c r="I22" s="110">
        <f>H12+H8</f>
        <v>0</v>
      </c>
      <c r="L22" s="180"/>
      <c r="M22" s="174"/>
      <c r="N22" s="173"/>
      <c r="O22" s="174"/>
      <c r="P22" s="9"/>
      <c r="Q22" s="9"/>
      <c r="R22" s="9"/>
      <c r="S22" s="9"/>
      <c r="T22" s="9"/>
      <c r="U22" s="9"/>
      <c r="V22" s="9"/>
      <c r="W22" s="9"/>
      <c r="AA22" s="172" t="s">
        <v>1151</v>
      </c>
      <c r="AB22" s="201"/>
      <c r="AC22" s="22" t="str">
        <f>IF(AB22&lt;&gt;"",VLOOKUP(AB22,Items!$A$616:$X$640,15,FALSE),"")</f>
        <v/>
      </c>
      <c r="AD22" s="22" t="str">
        <f>IF(AB22&lt;&gt;"",VLOOKUP(AB22,Items!$A$616:$X$640,16,FALSE),"")</f>
        <v/>
      </c>
      <c r="AE22" s="13" t="str">
        <f>IF(AB22&lt;&gt;"",VLOOKUP(AB22,Items!$A$616:$X$640,17,FALSE),"")</f>
        <v/>
      </c>
      <c r="AF22" s="127" t="str">
        <f>IF(AB22&lt;&gt;"",IF(VLOOKUP(AB22,Items!$A$616:$X$640,19,FALSE)&lt;&gt;0,VLOOKUP(AB22,Items!$A$616:$X$640,19,FALSE),""),"")</f>
        <v/>
      </c>
      <c r="AG22" s="161" t="str">
        <f>IF(AB22&lt;&gt;"",IF(VLOOKUP(AB22,Items!$A$616:$X$640,20,FALSE)&lt;&gt;0,VLOOKUP(AB22,Items!$A$616:$X$640,20,FALSE),""),"")</f>
        <v/>
      </c>
      <c r="AH22" s="9" t="str">
        <f>IF(AB22&lt;&gt;"",IF(VLOOKUP(AB22,Items!$A$616:$X$640,21,FALSE)&lt;&gt;0,VLOOKUP(AB22,Items!$A$616:$X$640,21,FALSE),""),"")</f>
        <v/>
      </c>
      <c r="AI22" s="88" t="str">
        <f>IF(AB22&lt;&gt;"",IF(VLOOKUP(AB22,Items!$A$616:$X$640,22,FALSE)&lt;&gt;0,VLOOKUP(AB22,Items!$A$616:$X$640,22,FALSE),""),"")</f>
        <v/>
      </c>
      <c r="AJ22" s="9" t="str">
        <f>IF(AB22&lt;&gt;"",IF(VLOOKUP(AB22,Items!$A$616:$X$640,23,FALSE)&lt;&gt;0,VLOOKUP(AB22,Items!$A$616:$X$640,23,FALSE),""),"")</f>
        <v/>
      </c>
      <c r="AK22" s="1" t="str">
        <f>IF(AB22&lt;&gt;"",IF(VLOOKUP(AB22,Items!$A$616:$X$640,24,FALSE)&lt;&gt;0,VLOOKUP(AB22,Items!$A$616:$X$640,24,FALSE),""),"")</f>
        <v/>
      </c>
      <c r="AL22" s="88"/>
      <c r="AM22" s="9"/>
      <c r="AN22" s="9"/>
      <c r="AO22" s="88"/>
      <c r="AP22" s="127"/>
      <c r="AQ22" s="1"/>
    </row>
    <row r="23" spans="1:43">
      <c r="A23" t="s">
        <v>1001</v>
      </c>
      <c r="H23" s="109"/>
      <c r="L23" s="180"/>
      <c r="M23" s="60"/>
      <c r="N23" s="173"/>
      <c r="O23" s="174"/>
      <c r="P23" s="9"/>
      <c r="Q23" s="9"/>
      <c r="R23" s="9"/>
      <c r="S23" s="9"/>
      <c r="T23" s="9"/>
      <c r="U23" s="9"/>
      <c r="V23" s="9"/>
      <c r="W23" s="9"/>
      <c r="AA23" s="47" t="s">
        <v>567</v>
      </c>
      <c r="AB23" s="201" t="s">
        <v>1145</v>
      </c>
      <c r="AC23" s="22">
        <f>IF(convertString(AB23, "prefix")&lt;&gt;"",VLOOKUP(convertString(AB23, "prefix"),Items!$A$544:$Z$612,15,FALSE),0) + IF(convertString(AB23, "item")&lt;&gt;"",VLOOKUP(convertString(AB23, "item"),Items!$A$14:$X$432,15,FALSE),0) + IF(convertString(AB23, "suffix")&lt;&gt;"",VLOOKUP(convertString(AB23, "suffix"),Items!$A$544:$Z$612,15,FALSE),0) + SUM(AC24:AC29)</f>
        <v>0</v>
      </c>
      <c r="AD23" s="22">
        <f>IF(convertString(AB23, "prefix")&lt;&gt;"",VLOOKUP(convertString(AB23, "prefix"),Items!$A$544:$Z$612,16,FALSE),0) + IF(convertString(AB23, "item")&lt;&gt;"",VLOOKUP(convertString(AB23, "item"),Items!$A$14:$X$432,16,FALSE),0) + IF(convertString(AB23, "suffix")&lt;&gt;"",VLOOKUP(convertString(AB23, "suffix"),Items!$A$544:$Z$612,16,FALSE),0)+SUM(AD24:AD29)</f>
        <v>0</v>
      </c>
      <c r="AE23" s="22">
        <f>IF(convertString(AB23, "prefix")&lt;&gt;"",VLOOKUP(convertString(AB23, "prefix"),Items!$A$544:$Z$612,17,FALSE),0) + IF(convertString(AB23, "item")&lt;&gt;"",VLOOKUP(convertString(AB23, "item"),Items!$A$14:$X$432,17,FALSE),0) + IF(convertString(AB23, "suffix")&lt;&gt;"",VLOOKUP(convertString(AB23, "suffix"),Items!$A$544:$Z$612,17,FALSE),0)+SUM(AE24:AE29)</f>
        <v>0</v>
      </c>
      <c r="AF23" s="88" t="str">
        <f>IF(VLOOKUP(convertString(AB23, "item"),Items!$A$14:$X$432,19,FALSE)&lt;&gt;"",VLOOKUP(convertString(AB23, "item"),Items!$A$14:$X$432,19,FALSE),"")</f>
        <v/>
      </c>
      <c r="AG23" s="118" t="str">
        <f>IF(VLOOKUP(convertString(AB23, "item"),Items!$A$14:$X$432,20,FALSE)&lt;&gt;0,VLOOKUP(convertString(AB23, "item"),Items!$A$14:$X$432,20,FALSE),"")</f>
        <v/>
      </c>
      <c r="AH23" s="9" t="str">
        <f>IF(VLOOKUP(convertString(AB23, "item"),Items!$A$14:$X$432,21,FALSE)&lt;&gt;"",VLOOKUP(convertString(AB23, "item"),Items!$A$14:$X$432,21,FALSE),"")</f>
        <v/>
      </c>
      <c r="AI23" s="88" t="str">
        <f>IF(VLOOKUP(convertString(AB23, "item"),Items!$A$14:$X$432,22,FALSE)&lt;&gt;"",VLOOKUP(convertString(AB23, "item"),Items!$A$14:$X$432,22,FALSE),"")</f>
        <v/>
      </c>
      <c r="AJ23" s="161" t="str">
        <f>IF(VLOOKUP(convertString(AB23, "item"),Items!$A$14:$X$432,23,FALSE)&lt;&gt;"",VLOOKUP(convertString(AB23, "item"),Items!$A$14:$X$432,23,FALSE),"")</f>
        <v/>
      </c>
      <c r="AK23" s="9" t="str">
        <f>IF(VLOOKUP(convertString(AB23, "item"),Items!$A$14:$X$432,24,FALSE)&lt;&gt;"",VLOOKUP(convertString(AB23, "item"),Items!$A$14:$X$432,24,FALSE),"")</f>
        <v/>
      </c>
      <c r="AL23" s="88" t="str">
        <f>IF(IF(convertString(AB23, "suffix")&lt;&gt;"",VLOOKUP(convertString(AB23, "suffix"),Items!$A$544:$Z$612,19,FALSE),"")&lt;&gt;"",IF(convertString(AB23, "suffix")&lt;&gt;"",VLOOKUP(convertString(AB23, "suffix"),Items!$A$544:$Z$612,19,FALSE),""),"")</f>
        <v/>
      </c>
      <c r="AM23" s="9" t="str">
        <f>IF(IF(convertString(AB23, "suffix")&lt;&gt;"",VLOOKUP(convertString(AB23, "suffix"),Items!$A$544:$Z$612,20,FALSE),"")&lt;&gt;"",IF(convertString(AB23, "suffix")&lt;&gt;"",VLOOKUP(convertString(AB23, "suffix"),Items!$A$544:$Z$612,20,FALSE),""),"")</f>
        <v/>
      </c>
      <c r="AN23" s="9" t="str">
        <f>IF(IF(convertString(AB23, "suffix")&lt;&gt;"",VLOOKUP(convertString(AB23, "suffix"),Items!$A$544:$Z$612,21,FALSE),"")&lt;&gt;"",IF(convertString(AB23, "suffix")&lt;&gt;"",VLOOKUP(convertString(AB23, "suffix"),Items!$A$544:$Z$612,21,FALSE),""),"")</f>
        <v/>
      </c>
      <c r="AO23" s="88" t="str">
        <f>IF(IF(convertString(AB23, "prefix")&lt;&gt;"",VLOOKUP(convertString(AB23, "prefix"),Items!$A$544:$Z$612,19,FALSE),"")&lt;&gt;"",IF(convertString(AB23, "prefix")&lt;&gt;"",VLOOKUP(convertString(AB23, "prefix"),Items!$A$544:$Z$612,19,FALSE),""),"")</f>
        <v/>
      </c>
      <c r="AP23" s="127" t="str">
        <f>IF(IF(convertString(AB23, "prefix")&lt;&gt;"",VLOOKUP(convertString(AB23, "prefix"),Items!$A$544:$Z$612,20,FALSE),"")&lt;&gt;"",IF(convertString(AB23, "prefix")&lt;&gt;"",VLOOKUP(convertString(AB23, "prefix"),Items!$A$544:$Z$612,20,FALSE),""),"")</f>
        <v/>
      </c>
      <c r="AQ23" s="1" t="str">
        <f>IF(IF(convertString(AB23, "prefix")&lt;&gt;"",VLOOKUP(convertString(AB23, "prefix"),Items!$A$544:$Z$612,21,FALSE),"")&lt;&gt;"",IF(convertString(AB23, "prefix")&lt;&gt;"",VLOOKUP(convertString(AB23, "prefix"),Items!$A$544:$Z$612,21,FALSE),""),"")</f>
        <v/>
      </c>
    </row>
    <row r="24" spans="1:43">
      <c r="B24" t="s">
        <v>561</v>
      </c>
      <c r="C24" t="s">
        <v>562</v>
      </c>
      <c r="D24" t="s">
        <v>563</v>
      </c>
      <c r="F24" t="s">
        <v>1062</v>
      </c>
      <c r="L24" s="180"/>
      <c r="M24" s="60"/>
      <c r="N24" s="173"/>
      <c r="O24" s="174"/>
      <c r="P24" s="9"/>
      <c r="Q24" s="9"/>
      <c r="R24" s="9"/>
      <c r="S24" s="9"/>
      <c r="T24" s="9"/>
      <c r="U24" s="9"/>
      <c r="V24" s="9"/>
      <c r="W24" s="9"/>
      <c r="AA24" s="172" t="s">
        <v>1146</v>
      </c>
      <c r="AB24" s="201"/>
      <c r="AC24" s="22" t="str">
        <f>IF(AB24&lt;&gt;"",VLOOKUP(AB24,Items!$A$616:$X$640,15,FALSE),"")</f>
        <v/>
      </c>
      <c r="AD24" s="22" t="str">
        <f>IF(AB24&lt;&gt;"",VLOOKUP(AB24,Items!$A$616:$X$640,16,FALSE),"")</f>
        <v/>
      </c>
      <c r="AE24" s="13" t="str">
        <f>IF(AB24&lt;&gt;"",VLOOKUP(AB24,Items!$A$616:$X$640,17,FALSE),"")</f>
        <v/>
      </c>
      <c r="AF24" s="127" t="str">
        <f>IF(AB24&lt;&gt;"",IF(VLOOKUP(AB24,Items!$A$616:$X$640,19,FALSE)&lt;&gt;0,VLOOKUP(AB24,Items!$A$616:$X$640,19,FALSE),""),"")</f>
        <v/>
      </c>
      <c r="AG24" s="161" t="str">
        <f>IF(AB24&lt;&gt;"",IF(VLOOKUP(AB24,Items!$A$616:$X$640,20,FALSE)&lt;&gt;0,VLOOKUP(AB24,Items!$A$616:$X$640,20,FALSE),""),"")</f>
        <v/>
      </c>
      <c r="AH24" s="9" t="str">
        <f>IF(AB24&lt;&gt;"",IF(VLOOKUP(AB24,Items!$A$616:$X$640,21,FALSE)&lt;&gt;0,VLOOKUP(AB24,Items!$A$616:$X$640,21,FALSE),""),"")</f>
        <v/>
      </c>
      <c r="AI24" s="88" t="str">
        <f>IF(AB24&lt;&gt;"",IF(VLOOKUP(AB24,Items!$A$616:$X$640,22,FALSE)&lt;&gt;0,VLOOKUP(AB24,Items!$A$616:$X$640,22,FALSE),""),"")</f>
        <v/>
      </c>
      <c r="AJ24" s="9" t="str">
        <f>IF(AB24&lt;&gt;"",IF(VLOOKUP(AB24,Items!$A$616:$X$640,23,FALSE)&lt;&gt;0,VLOOKUP(AB24,Items!$A$616:$X$640,23,FALSE),""),"")</f>
        <v/>
      </c>
      <c r="AK24" s="1" t="str">
        <f>IF(AB24&lt;&gt;"",IF(VLOOKUP(AB24,Items!$A$616:$X$640,24,FALSE)&lt;&gt;0,VLOOKUP(AB24,Items!$A$616:$X$640,24,FALSE),""),"")</f>
        <v/>
      </c>
      <c r="AL24" s="88"/>
      <c r="AM24" s="9"/>
      <c r="AN24" s="9"/>
      <c r="AO24" s="88"/>
      <c r="AP24" s="127"/>
      <c r="AQ24" s="1"/>
    </row>
    <row r="25" spans="1:43">
      <c r="A25" t="s">
        <v>1002</v>
      </c>
      <c r="B25" s="40">
        <v>1</v>
      </c>
      <c r="C25" s="40">
        <v>1</v>
      </c>
      <c r="D25" s="40">
        <v>1</v>
      </c>
      <c r="G25" s="40" t="s">
        <v>1063</v>
      </c>
      <c r="H25" s="40" t="s">
        <v>1064</v>
      </c>
      <c r="I25" s="40" t="s">
        <v>636</v>
      </c>
      <c r="L25" s="181"/>
      <c r="M25" s="60"/>
      <c r="N25" s="173"/>
      <c r="O25" s="174"/>
      <c r="P25" s="9"/>
      <c r="Q25" s="9"/>
      <c r="R25" s="9"/>
      <c r="S25" s="9"/>
      <c r="T25" s="9"/>
      <c r="U25" s="9"/>
      <c r="V25" s="9"/>
      <c r="W25" s="9"/>
      <c r="AA25" s="172" t="s">
        <v>1147</v>
      </c>
      <c r="AB25" s="201"/>
      <c r="AC25" s="22" t="str">
        <f>IF(AB25&lt;&gt;"",VLOOKUP(AB25,Items!$A$616:$X$640,15,FALSE),"")</f>
        <v/>
      </c>
      <c r="AD25" s="22" t="str">
        <f>IF(AB25&lt;&gt;"",VLOOKUP(AB25,Items!$A$616:$X$640,16,FALSE),"")</f>
        <v/>
      </c>
      <c r="AE25" s="13" t="str">
        <f>IF(AB25&lt;&gt;"",VLOOKUP(AB25,Items!$A$616:$X$640,17,FALSE),"")</f>
        <v/>
      </c>
      <c r="AF25" s="127" t="str">
        <f>IF(AB25&lt;&gt;"",IF(VLOOKUP(AB25,Items!$A$616:$X$640,19,FALSE)&lt;&gt;0,VLOOKUP(AB25,Items!$A$616:$X$640,19,FALSE),""),"")</f>
        <v/>
      </c>
      <c r="AG25" s="161" t="str">
        <f>IF(AB25&lt;&gt;"",IF(VLOOKUP(AB25,Items!$A$616:$X$640,20,FALSE)&lt;&gt;0,VLOOKUP(AB25,Items!$A$616:$X$640,20,FALSE),""),"")</f>
        <v/>
      </c>
      <c r="AH25" s="9" t="str">
        <f>IF(AB25&lt;&gt;"",IF(VLOOKUP(AB25,Items!$A$616:$X$640,21,FALSE)&lt;&gt;0,VLOOKUP(AB25,Items!$A$616:$X$640,21,FALSE),""),"")</f>
        <v/>
      </c>
      <c r="AI25" s="88" t="str">
        <f>IF(AB25&lt;&gt;"",IF(VLOOKUP(AB25,Items!$A$616:$X$640,22,FALSE)&lt;&gt;0,VLOOKUP(AB25,Items!$A$616:$X$640,22,FALSE),""),"")</f>
        <v/>
      </c>
      <c r="AJ25" s="9" t="str">
        <f>IF(AB25&lt;&gt;"",IF(VLOOKUP(AB25,Items!$A$616:$X$640,23,FALSE)&lt;&gt;0,VLOOKUP(AB25,Items!$A$616:$X$640,23,FALSE),""),"")</f>
        <v/>
      </c>
      <c r="AK25" s="1" t="str">
        <f>IF(AB25&lt;&gt;"",IF(VLOOKUP(AB25,Items!$A$616:$X$640,24,FALSE)&lt;&gt;0,VLOOKUP(AB25,Items!$A$616:$X$640,24,FALSE),""),"")</f>
        <v/>
      </c>
      <c r="AL25" s="88"/>
      <c r="AM25" s="9"/>
      <c r="AN25" s="9"/>
      <c r="AO25" s="88"/>
      <c r="AP25" s="127"/>
      <c r="AQ25" s="1"/>
    </row>
    <row r="26" spans="1:43">
      <c r="A26" t="s">
        <v>1000</v>
      </c>
      <c r="B26" s="40">
        <v>2</v>
      </c>
      <c r="C26" s="40">
        <v>0</v>
      </c>
      <c r="D26" s="40">
        <v>1</v>
      </c>
      <c r="F26" t="s">
        <v>698</v>
      </c>
      <c r="G26" s="40">
        <v>360</v>
      </c>
      <c r="H26" s="40">
        <v>356</v>
      </c>
      <c r="I26" s="40">
        <v>360</v>
      </c>
      <c r="L26" s="101"/>
      <c r="M26" s="182"/>
      <c r="N26" s="177"/>
      <c r="O26" s="60"/>
      <c r="P26" s="8"/>
      <c r="Q26" s="9"/>
      <c r="R26" s="9"/>
      <c r="S26" s="9"/>
      <c r="T26" s="9"/>
      <c r="U26" s="9"/>
      <c r="V26" s="9"/>
      <c r="W26" s="9"/>
      <c r="AA26" s="172" t="s">
        <v>1148</v>
      </c>
      <c r="AB26" s="201"/>
      <c r="AC26" s="22" t="str">
        <f>IF(AB26&lt;&gt;"",VLOOKUP(AB26,Items!$A$616:$X$640,15,FALSE),"")</f>
        <v/>
      </c>
      <c r="AD26" s="22" t="str">
        <f>IF(AB26&lt;&gt;"",VLOOKUP(AB26,Items!$A$616:$X$640,16,FALSE),"")</f>
        <v/>
      </c>
      <c r="AE26" s="13" t="str">
        <f>IF(AB26&lt;&gt;"",VLOOKUP(AB26,Items!$A$616:$X$640,17,FALSE),"")</f>
        <v/>
      </c>
      <c r="AF26" s="127" t="str">
        <f>IF(AB26&lt;&gt;"",IF(VLOOKUP(AB26,Items!$A$616:$X$640,19,FALSE)&lt;&gt;0,VLOOKUP(AB26,Items!$A$616:$X$640,19,FALSE),""),"")</f>
        <v/>
      </c>
      <c r="AG26" s="161" t="str">
        <f>IF(AB26&lt;&gt;"",IF(VLOOKUP(AB26,Items!$A$616:$X$640,20,FALSE)&lt;&gt;0,VLOOKUP(AB26,Items!$A$616:$X$640,20,FALSE),""),"")</f>
        <v/>
      </c>
      <c r="AH26" s="9" t="str">
        <f>IF(AB26&lt;&gt;"",IF(VLOOKUP(AB26,Items!$A$616:$X$640,21,FALSE)&lt;&gt;0,VLOOKUP(AB26,Items!$A$616:$X$640,21,FALSE),""),"")</f>
        <v/>
      </c>
      <c r="AI26" s="88" t="str">
        <f>IF(AB26&lt;&gt;"",IF(VLOOKUP(AB26,Items!$A$616:$X$640,22,FALSE)&lt;&gt;0,VLOOKUP(AB26,Items!$A$616:$X$640,22,FALSE),""),"")</f>
        <v/>
      </c>
      <c r="AJ26" s="9" t="str">
        <f>IF(AB26&lt;&gt;"",IF(VLOOKUP(AB26,Items!$A$616:$X$640,23,FALSE)&lt;&gt;0,VLOOKUP(AB26,Items!$A$616:$X$640,23,FALSE),""),"")</f>
        <v/>
      </c>
      <c r="AK26" s="1" t="str">
        <f>IF(AB26&lt;&gt;"",IF(VLOOKUP(AB26,Items!$A$616:$X$640,24,FALSE)&lt;&gt;0,VLOOKUP(AB26,Items!$A$616:$X$640,24,FALSE),""),"")</f>
        <v/>
      </c>
      <c r="AL26" s="88"/>
      <c r="AM26" s="9"/>
      <c r="AN26" s="9"/>
      <c r="AO26" s="88"/>
      <c r="AP26" s="127"/>
      <c r="AQ26" s="1"/>
    </row>
    <row r="27" spans="1:43">
      <c r="A27" t="s">
        <v>79</v>
      </c>
      <c r="B27" s="40">
        <v>0</v>
      </c>
      <c r="C27" s="40">
        <v>2</v>
      </c>
      <c r="D27" s="40">
        <v>1</v>
      </c>
      <c r="F27" t="s">
        <v>1065</v>
      </c>
      <c r="G27" s="33">
        <v>160</v>
      </c>
      <c r="H27" s="33">
        <v>60</v>
      </c>
      <c r="I27" s="33">
        <v>80</v>
      </c>
      <c r="L27" s="180"/>
      <c r="M27" s="60"/>
      <c r="N27" s="177"/>
      <c r="O27" s="60"/>
      <c r="P27" s="9"/>
      <c r="Q27" s="9"/>
      <c r="R27" s="9"/>
      <c r="S27" s="9"/>
      <c r="T27" s="9"/>
      <c r="U27" s="9"/>
      <c r="V27" s="9"/>
      <c r="W27" s="9"/>
      <c r="AA27" s="172" t="s">
        <v>1149</v>
      </c>
      <c r="AB27" s="201"/>
      <c r="AC27" s="22" t="str">
        <f>IF(AB27&lt;&gt;"",VLOOKUP(AB27,Items!$A$616:$X$640,15,FALSE),"")</f>
        <v/>
      </c>
      <c r="AD27" s="22" t="str">
        <f>IF(AB27&lt;&gt;"",VLOOKUP(AB27,Items!$A$616:$X$640,16,FALSE),"")</f>
        <v/>
      </c>
      <c r="AE27" s="13" t="str">
        <f>IF(AB27&lt;&gt;"",VLOOKUP(AB27,Items!$A$616:$X$640,17,FALSE),"")</f>
        <v/>
      </c>
      <c r="AF27" s="127" t="str">
        <f>IF(AB27&lt;&gt;"",IF(VLOOKUP(AB27,Items!$A$616:$X$640,19,FALSE)&lt;&gt;0,VLOOKUP(AB27,Items!$A$616:$X$640,19,FALSE),""),"")</f>
        <v/>
      </c>
      <c r="AG27" s="161" t="str">
        <f>IF(AB27&lt;&gt;"",IF(VLOOKUP(AB27,Items!$A$616:$X$640,20,FALSE)&lt;&gt;0,VLOOKUP(AB27,Items!$A$616:$X$640,20,FALSE),""),"")</f>
        <v/>
      </c>
      <c r="AH27" s="9" t="str">
        <f>IF(AB27&lt;&gt;"",IF(VLOOKUP(AB27,Items!$A$616:$X$640,21,FALSE)&lt;&gt;0,VLOOKUP(AB27,Items!$A$616:$X$640,21,FALSE),""),"")</f>
        <v/>
      </c>
      <c r="AI27" s="88" t="str">
        <f>IF(AB27&lt;&gt;"",IF(VLOOKUP(AB27,Items!$A$616:$X$640,22,FALSE)&lt;&gt;0,VLOOKUP(AB27,Items!$A$616:$X$640,22,FALSE),""),"")</f>
        <v/>
      </c>
      <c r="AJ27" s="9" t="str">
        <f>IF(AB27&lt;&gt;"",IF(VLOOKUP(AB27,Items!$A$616:$X$640,23,FALSE)&lt;&gt;0,VLOOKUP(AB27,Items!$A$616:$X$640,23,FALSE),""),"")</f>
        <v/>
      </c>
      <c r="AK27" s="1" t="str">
        <f>IF(AB27&lt;&gt;"",IF(VLOOKUP(AB27,Items!$A$616:$X$640,24,FALSE)&lt;&gt;0,VLOOKUP(AB27,Items!$A$616:$X$640,24,FALSE),""),"")</f>
        <v/>
      </c>
      <c r="AL27" s="88"/>
      <c r="AM27" s="9"/>
      <c r="AN27" s="9"/>
      <c r="AO27" s="88"/>
      <c r="AP27" s="127"/>
      <c r="AQ27" s="1"/>
    </row>
    <row r="28" spans="1:43">
      <c r="A28" t="s">
        <v>1003</v>
      </c>
      <c r="B28" s="40">
        <v>1</v>
      </c>
      <c r="C28" s="40">
        <v>0</v>
      </c>
      <c r="D28" s="40">
        <v>2</v>
      </c>
      <c r="G28" s="40">
        <f>SUM(G26:G27)</f>
        <v>520</v>
      </c>
      <c r="H28" s="40">
        <f>SUM(H26:H27)</f>
        <v>416</v>
      </c>
      <c r="I28" s="40">
        <f>SUM(I26:I27)</f>
        <v>440</v>
      </c>
      <c r="K28" s="40"/>
      <c r="L28" s="180"/>
      <c r="M28" s="60"/>
      <c r="N28" s="173"/>
      <c r="O28" s="174"/>
      <c r="P28" s="9"/>
      <c r="Q28" s="9"/>
      <c r="R28" s="9"/>
      <c r="S28" s="9"/>
      <c r="T28" s="9"/>
      <c r="U28" s="9"/>
      <c r="V28" s="9"/>
      <c r="W28" s="9"/>
      <c r="AA28" s="172" t="s">
        <v>1150</v>
      </c>
      <c r="AB28" s="201"/>
      <c r="AC28" s="22" t="str">
        <f>IF(AB28&lt;&gt;"",VLOOKUP(AB28,Items!$A$616:$X$640,15,FALSE),"")</f>
        <v/>
      </c>
      <c r="AD28" s="22" t="str">
        <f>IF(AB28&lt;&gt;"",VLOOKUP(AB28,Items!$A$616:$X$640,16,FALSE),"")</f>
        <v/>
      </c>
      <c r="AE28" s="13" t="str">
        <f>IF(AB28&lt;&gt;"",VLOOKUP(AB28,Items!$A$616:$X$640,17,FALSE),"")</f>
        <v/>
      </c>
      <c r="AF28" s="127" t="str">
        <f>IF(AB28&lt;&gt;"",IF(VLOOKUP(AB28,Items!$A$616:$X$640,19,FALSE)&lt;&gt;0,VLOOKUP(AB28,Items!$A$616:$X$640,19,FALSE),""),"")</f>
        <v/>
      </c>
      <c r="AG28" s="161" t="str">
        <f>IF(AB28&lt;&gt;"",IF(VLOOKUP(AB28,Items!$A$616:$X$640,20,FALSE)&lt;&gt;0,VLOOKUP(AB28,Items!$A$616:$X$640,20,FALSE),""),"")</f>
        <v/>
      </c>
      <c r="AH28" s="9" t="str">
        <f>IF(AB28&lt;&gt;"",IF(VLOOKUP(AB28,Items!$A$616:$X$640,21,FALSE)&lt;&gt;0,VLOOKUP(AB28,Items!$A$616:$X$640,21,FALSE),""),"")</f>
        <v/>
      </c>
      <c r="AI28" s="88" t="str">
        <f>IF(AB28&lt;&gt;"",IF(VLOOKUP(AB28,Items!$A$616:$X$640,22,FALSE)&lt;&gt;0,VLOOKUP(AB28,Items!$A$616:$X$640,22,FALSE),""),"")</f>
        <v/>
      </c>
      <c r="AJ28" s="9" t="str">
        <f>IF(AB28&lt;&gt;"",IF(VLOOKUP(AB28,Items!$A$616:$X$640,23,FALSE)&lt;&gt;0,VLOOKUP(AB28,Items!$A$616:$X$640,23,FALSE),""),"")</f>
        <v/>
      </c>
      <c r="AK28" s="1" t="str">
        <f>IF(AB28&lt;&gt;"",IF(VLOOKUP(AB28,Items!$A$616:$X$640,24,FALSE)&lt;&gt;0,VLOOKUP(AB28,Items!$A$616:$X$640,24,FALSE),""),"")</f>
        <v/>
      </c>
      <c r="AL28" s="88"/>
      <c r="AM28" s="9"/>
      <c r="AN28" s="9"/>
      <c r="AO28" s="88"/>
      <c r="AP28" s="127"/>
      <c r="AQ28" s="1"/>
    </row>
    <row r="29" spans="1:43">
      <c r="A29" t="s">
        <v>1004</v>
      </c>
      <c r="B29" s="40">
        <v>0</v>
      </c>
      <c r="C29" s="40">
        <v>1</v>
      </c>
      <c r="D29" s="40">
        <v>2</v>
      </c>
      <c r="K29" s="40"/>
      <c r="L29" s="180"/>
      <c r="M29" s="60"/>
      <c r="N29" s="173"/>
      <c r="O29" s="174"/>
      <c r="P29" s="9"/>
      <c r="Q29" s="9"/>
      <c r="R29" s="9"/>
      <c r="S29" s="9"/>
      <c r="T29" s="9"/>
      <c r="U29" s="9"/>
      <c r="V29" s="9"/>
      <c r="W29" s="9"/>
      <c r="AA29" s="172" t="s">
        <v>1151</v>
      </c>
      <c r="AB29" s="201"/>
      <c r="AC29" s="22" t="str">
        <f>IF(AB29&lt;&gt;"",VLOOKUP(AB29,Items!$A$616:$X$640,15,FALSE),"")</f>
        <v/>
      </c>
      <c r="AD29" s="22" t="str">
        <f>IF(AB29&lt;&gt;"",VLOOKUP(AB29,Items!$A$616:$X$640,16,FALSE),"")</f>
        <v/>
      </c>
      <c r="AE29" s="13" t="str">
        <f>IF(AB29&lt;&gt;"",VLOOKUP(AB29,Items!$A$616:$X$640,17,FALSE),"")</f>
        <v/>
      </c>
      <c r="AF29" s="127" t="str">
        <f>IF(AB29&lt;&gt;"",IF(VLOOKUP(AB29,Items!$A$616:$X$640,19,FALSE)&lt;&gt;0,VLOOKUP(AB29,Items!$A$616:$X$640,19,FALSE),""),"")</f>
        <v/>
      </c>
      <c r="AG29" s="161" t="str">
        <f>IF(AB29&lt;&gt;"",IF(VLOOKUP(AB29,Items!$A$616:$X$640,20,FALSE)&lt;&gt;0,VLOOKUP(AB29,Items!$A$616:$X$640,20,FALSE),""),"")</f>
        <v/>
      </c>
      <c r="AH29" s="9" t="str">
        <f>IF(AB29&lt;&gt;"",IF(VLOOKUP(AB29,Items!$A$616:$X$640,21,FALSE)&lt;&gt;0,VLOOKUP(AB29,Items!$A$616:$X$640,21,FALSE),""),"")</f>
        <v/>
      </c>
      <c r="AI29" s="88" t="str">
        <f>IF(AB29&lt;&gt;"",IF(VLOOKUP(AB29,Items!$A$616:$X$640,22,FALSE)&lt;&gt;0,VLOOKUP(AB29,Items!$A$616:$X$640,22,FALSE),""),"")</f>
        <v/>
      </c>
      <c r="AJ29" s="9" t="str">
        <f>IF(AB29&lt;&gt;"",IF(VLOOKUP(AB29,Items!$A$616:$X$640,23,FALSE)&lt;&gt;0,VLOOKUP(AB29,Items!$A$616:$X$640,23,FALSE),""),"")</f>
        <v/>
      </c>
      <c r="AK29" s="1" t="str">
        <f>IF(AB29&lt;&gt;"",IF(VLOOKUP(AB29,Items!$A$616:$X$640,24,FALSE)&lt;&gt;0,VLOOKUP(AB29,Items!$A$616:$X$640,24,FALSE),""),"")</f>
        <v/>
      </c>
      <c r="AL29" s="88"/>
      <c r="AM29" s="9"/>
      <c r="AN29" s="9"/>
      <c r="AO29" s="88"/>
      <c r="AP29" s="127"/>
      <c r="AQ29" s="1"/>
    </row>
    <row r="30" spans="1:43">
      <c r="A30" t="s">
        <v>1005</v>
      </c>
      <c r="B30" s="40">
        <v>2</v>
      </c>
      <c r="C30" s="40">
        <v>1</v>
      </c>
      <c r="D30" s="40">
        <v>0</v>
      </c>
      <c r="K30" s="40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AA30" s="46" t="s">
        <v>633</v>
      </c>
      <c r="AB30" s="100">
        <f>AF30*100+AC31+AD31+AE31+1</f>
        <v>1</v>
      </c>
      <c r="AC30" s="22"/>
      <c r="AD30" s="22"/>
      <c r="AE30" s="41"/>
      <c r="AF30" s="203">
        <v>0</v>
      </c>
      <c r="AG30" s="9" t="str">
        <f>VLOOKUP(AB1,Misc!$AA$38:$AE$46,2,FALSE)</f>
        <v>Fight</v>
      </c>
      <c r="AH30" s="2" t="s">
        <v>572</v>
      </c>
      <c r="AI30" s="88"/>
      <c r="AJ30" s="9"/>
      <c r="AK30" s="1"/>
      <c r="AL30" s="46"/>
      <c r="AM30" s="22"/>
      <c r="AN30" s="9"/>
      <c r="AO30" s="145"/>
      <c r="AP30" s="9"/>
      <c r="AQ30" s="1"/>
    </row>
    <row r="31" spans="1:43">
      <c r="A31" t="s">
        <v>1006</v>
      </c>
      <c r="B31" s="40">
        <v>1</v>
      </c>
      <c r="C31" s="40">
        <v>2</v>
      </c>
      <c r="D31" s="40">
        <v>0</v>
      </c>
      <c r="G31" t="s">
        <v>1068</v>
      </c>
      <c r="K31" s="40"/>
      <c r="L31" s="9"/>
      <c r="M31" s="174"/>
      <c r="N31" s="177"/>
      <c r="O31" s="60"/>
      <c r="P31" s="183"/>
      <c r="Q31" s="9"/>
      <c r="R31" s="9"/>
      <c r="S31" s="9"/>
      <c r="T31" s="9"/>
      <c r="U31" s="9"/>
      <c r="V31" s="9"/>
      <c r="W31" s="9"/>
      <c r="AA31" s="46" t="s">
        <v>632</v>
      </c>
      <c r="AC31" s="23">
        <v>0</v>
      </c>
      <c r="AD31" s="23">
        <v>0</v>
      </c>
      <c r="AE31" s="23">
        <v>0</v>
      </c>
      <c r="AF31" s="86"/>
      <c r="AG31" s="9"/>
      <c r="AH31" s="9"/>
      <c r="AI31" s="89"/>
      <c r="AJ31" s="9"/>
      <c r="AK31" s="1"/>
      <c r="AL31" s="319"/>
      <c r="AM31" s="320"/>
      <c r="AN31" s="142" t="s">
        <v>561</v>
      </c>
      <c r="AO31" s="90" t="s">
        <v>562</v>
      </c>
      <c r="AP31" s="91" t="s">
        <v>563</v>
      </c>
      <c r="AQ31" s="144"/>
    </row>
    <row r="32" spans="1:43">
      <c r="K32" s="40"/>
      <c r="L32" s="9"/>
      <c r="M32" s="9"/>
      <c r="N32" s="9"/>
      <c r="O32" s="9"/>
      <c r="P32" s="180"/>
      <c r="Q32" s="9"/>
      <c r="R32" s="9"/>
      <c r="S32" s="9"/>
      <c r="T32" s="9"/>
      <c r="U32" s="9"/>
      <c r="V32" s="9"/>
      <c r="W32" s="9"/>
      <c r="AA32" s="47" t="s">
        <v>634</v>
      </c>
      <c r="AB32" s="9"/>
      <c r="AC32" s="22">
        <f>AC31*2+SUM(AC2:AC7)</f>
        <v>0</v>
      </c>
      <c r="AD32" s="22">
        <f>AD31*2+SUM(AD2:AD7)</f>
        <v>0</v>
      </c>
      <c r="AE32" s="22">
        <f>AE31*2+SUM(AE2:AE7)</f>
        <v>0</v>
      </c>
      <c r="AF32" s="83" t="s">
        <v>818</v>
      </c>
      <c r="AG32" s="120" t="str">
        <f>convertPercentage(AF2:AQ30,"Fight",IF(AL31="",'Stats Scores'!$AP$2,AL31))</f>
        <v>0%</v>
      </c>
      <c r="AH32" s="53" t="s">
        <v>825</v>
      </c>
      <c r="AI32" s="120" t="str">
        <f>convertPercentage(AF2:AQ30,"Barter",IF(AL31="",'Stats Scores'!$AP$2,AL31))</f>
        <v>0%</v>
      </c>
      <c r="AJ32" s="44" t="s">
        <v>827</v>
      </c>
      <c r="AK32" s="123" t="str">
        <f>convertPercentage(AF2:AQ30,"Spy",IF(AL31="",'Stats Scores'!$AP$2,AL31))</f>
        <v>0%</v>
      </c>
      <c r="AL32" s="321" t="s">
        <v>819</v>
      </c>
      <c r="AM32" s="322"/>
      <c r="AN32" s="95">
        <f ca="1">ROUNDUP(getscore(AC34,AG32,"Fight",AL31),0)+NOW()*0</f>
        <v>4</v>
      </c>
      <c r="AO32" s="95">
        <f ca="1">ROUNDUP(getscore(AD34,AI32,"Barter",AL31),0)+NOW()*0</f>
        <v>13</v>
      </c>
      <c r="AP32" s="82">
        <f ca="1">ROUNDUP(getscore(AE34,AK32,"Spy",AL31),0)+NOW()*0</f>
        <v>10</v>
      </c>
      <c r="AQ32" s="143"/>
    </row>
    <row r="33" spans="1:43">
      <c r="A33" t="s">
        <v>21</v>
      </c>
      <c r="B33" s="55" t="s">
        <v>1027</v>
      </c>
      <c r="C33" s="55" t="s">
        <v>561</v>
      </c>
      <c r="D33" s="108">
        <v>0.05</v>
      </c>
      <c r="K33" s="40"/>
      <c r="L33" s="9"/>
      <c r="M33" s="42"/>
      <c r="N33" s="9"/>
      <c r="O33" s="9"/>
      <c r="P33" s="8"/>
      <c r="Q33" s="9"/>
      <c r="R33" s="9"/>
      <c r="S33" s="9"/>
      <c r="T33" s="9"/>
      <c r="U33" s="9"/>
      <c r="V33" s="9"/>
      <c r="W33" s="9"/>
      <c r="AA33" s="46"/>
      <c r="AB33" s="2"/>
      <c r="AC33" s="22"/>
      <c r="AD33" s="22"/>
      <c r="AE33" s="22"/>
      <c r="AF33" s="83" t="s">
        <v>753</v>
      </c>
      <c r="AG33" s="121" t="str">
        <f>convertPercentage(AF2:AQ30,"Harass",IF(AL31="",'Stats Scores'!$AP$2,AL31))</f>
        <v>0%</v>
      </c>
      <c r="AH33" s="2" t="s">
        <v>829</v>
      </c>
      <c r="AI33" s="121" t="str">
        <f>convertPercentage(AF2:AQ30,"Swindle",IF(AL31="",'Stats Scores'!$AP$2,AL31))</f>
        <v>0%</v>
      </c>
      <c r="AJ33" s="9" t="s">
        <v>828</v>
      </c>
      <c r="AK33" s="124" t="str">
        <f>convertPercentage(AF2:AQ30,"Sabotage",IF(AL31="",'Stats Scores'!$AP$2,AL31))</f>
        <v>0%</v>
      </c>
      <c r="AL33" s="321" t="s">
        <v>820</v>
      </c>
      <c r="AM33" s="322"/>
      <c r="AN33" s="95">
        <f ca="1">ROUNDUP(getscore(AC34,AG33,"Harass",AL31),0)+NOW()*0</f>
        <v>4</v>
      </c>
      <c r="AO33" s="95">
        <f ca="1">ROUNDUP(getscore(AD34,AI33,"Swindle",AL31),0)+NOW()*0</f>
        <v>13</v>
      </c>
      <c r="AP33" s="82">
        <f ca="1">ROUNDUP(getscore(AE34,AK33,"Sabotage",AL31),0)+NOW()*0</f>
        <v>10</v>
      </c>
      <c r="AQ33" s="143"/>
    </row>
    <row r="34" spans="1:43">
      <c r="A34" t="s">
        <v>465</v>
      </c>
      <c r="B34" s="48" t="s">
        <v>1012</v>
      </c>
      <c r="C34" s="48" t="s">
        <v>626</v>
      </c>
      <c r="D34" s="108">
        <v>0.04</v>
      </c>
      <c r="K34" s="40"/>
      <c r="L34" s="9"/>
      <c r="M34" s="9"/>
      <c r="N34" s="9"/>
      <c r="O34" s="9"/>
      <c r="P34" s="8"/>
      <c r="Q34" s="9"/>
      <c r="R34" s="9"/>
      <c r="S34" s="9"/>
      <c r="T34" s="9"/>
      <c r="U34" s="9"/>
      <c r="V34" s="9"/>
      <c r="W34" s="9"/>
      <c r="AA34" s="56" t="s">
        <v>635</v>
      </c>
      <c r="AB34" s="20"/>
      <c r="AC34" s="33">
        <f>AC8+AC9+AC16+AC23+AC32</f>
        <v>0</v>
      </c>
      <c r="AD34" s="33">
        <f t="shared" ref="AD34:AE34" si="1">AD8+AD9+AD16+AD23+AD32</f>
        <v>0</v>
      </c>
      <c r="AE34" s="33">
        <f t="shared" si="1"/>
        <v>0</v>
      </c>
      <c r="AF34" s="84" t="s">
        <v>824</v>
      </c>
      <c r="AG34" s="122" t="str">
        <f>convertPercentage(AF2:AQ30,"Aid",IF(AL31="",'Stats Scores'!$AP$2,AL31))</f>
        <v>0%</v>
      </c>
      <c r="AH34" s="20" t="s">
        <v>826</v>
      </c>
      <c r="AI34" s="122" t="str">
        <f>convertPercentage(AF2:AQ30,"Bribe",IF(AL31="",'Stats Scores'!$AP$2,AL31))</f>
        <v>0%</v>
      </c>
      <c r="AJ34" s="20" t="s">
        <v>830</v>
      </c>
      <c r="AK34" s="125" t="str">
        <f>convertPercentage(AF2:AQ30,"Steal",IF(AL31="",'Stats Scores'!$AP$2,AL31))</f>
        <v>0%</v>
      </c>
      <c r="AL34" s="317" t="s">
        <v>821</v>
      </c>
      <c r="AM34" s="318"/>
      <c r="AN34" s="131">
        <f ca="1">ROUNDUP(getscore(AC34,AG34,"Aid",AL31),0)+NOW()*0</f>
        <v>4</v>
      </c>
      <c r="AO34" s="131">
        <f ca="1">ROUNDUP(getscore(AD34,AI34,"Bribe",AL31),0)+NOW()*0</f>
        <v>18</v>
      </c>
      <c r="AP34" s="132">
        <f ca="1">ROUNDUP(getscore(AE34,AK34,"Steal",AL31),0)+NOW()*0</f>
        <v>10</v>
      </c>
      <c r="AQ34" s="111"/>
    </row>
    <row r="35" spans="1:43">
      <c r="A35" t="s">
        <v>396</v>
      </c>
      <c r="B35" t="s">
        <v>1014</v>
      </c>
      <c r="C35" t="s">
        <v>626</v>
      </c>
      <c r="D35" s="108">
        <v>0.04</v>
      </c>
      <c r="L35" s="9"/>
      <c r="M35" s="174"/>
      <c r="N35" s="9"/>
      <c r="O35" s="9"/>
      <c r="P35" s="183"/>
      <c r="Q35" s="9"/>
      <c r="R35" s="9"/>
      <c r="S35" s="9"/>
      <c r="T35" s="9"/>
      <c r="U35" s="9"/>
      <c r="V35" s="9"/>
      <c r="W35" s="9"/>
    </row>
    <row r="36" spans="1:43">
      <c r="A36" t="s">
        <v>465</v>
      </c>
      <c r="B36" t="s">
        <v>1013</v>
      </c>
      <c r="C36" t="s">
        <v>629</v>
      </c>
      <c r="D36" s="108">
        <v>0.04</v>
      </c>
      <c r="L36" s="9"/>
      <c r="M36" s="9"/>
      <c r="N36" s="9"/>
      <c r="O36" s="9"/>
      <c r="P36" s="183"/>
      <c r="Q36" s="9"/>
      <c r="R36" s="9"/>
      <c r="S36" s="9"/>
      <c r="T36" s="9"/>
      <c r="U36" s="9"/>
      <c r="V36" s="9"/>
      <c r="W36" s="9"/>
      <c r="AA36" s="202" t="b">
        <v>0</v>
      </c>
    </row>
    <row r="37" spans="1:43">
      <c r="A37" t="s">
        <v>1057</v>
      </c>
      <c r="B37" t="s">
        <v>1061</v>
      </c>
      <c r="C37" t="s">
        <v>562</v>
      </c>
      <c r="D37" s="108">
        <v>0.04</v>
      </c>
      <c r="L37" s="9"/>
      <c r="M37" s="174"/>
      <c r="N37" s="9"/>
      <c r="O37" s="9"/>
      <c r="P37" s="9"/>
      <c r="Q37" s="9"/>
      <c r="R37" s="9"/>
      <c r="S37" s="9"/>
      <c r="T37" s="9"/>
      <c r="U37" s="9"/>
      <c r="V37" s="9"/>
      <c r="W37" s="9"/>
      <c r="AA37" s="40" t="s">
        <v>1195</v>
      </c>
    </row>
    <row r="38" spans="1:43">
      <c r="L38" s="9"/>
      <c r="M38" s="174"/>
      <c r="N38" s="9"/>
      <c r="O38" s="9"/>
      <c r="P38" s="184"/>
      <c r="Q38" s="9"/>
      <c r="R38" s="9"/>
      <c r="S38" s="9"/>
      <c r="T38" s="9"/>
      <c r="U38" s="9"/>
      <c r="V38" s="9"/>
      <c r="W38" s="9"/>
      <c r="AA38" s="9" t="s">
        <v>1019</v>
      </c>
      <c r="AB38" s="9" t="s">
        <v>621</v>
      </c>
      <c r="AC38" s="9" t="s">
        <v>1182</v>
      </c>
      <c r="AD38" t="s">
        <v>1183</v>
      </c>
      <c r="AE38" t="s">
        <v>1183</v>
      </c>
    </row>
    <row r="39" spans="1:43">
      <c r="L39" s="9"/>
      <c r="M39" s="9"/>
      <c r="N39" s="9"/>
      <c r="O39" s="9"/>
      <c r="P39" s="180"/>
      <c r="Q39" s="9"/>
      <c r="R39" s="9"/>
      <c r="S39" s="9"/>
      <c r="T39" s="9"/>
      <c r="U39" s="9"/>
      <c r="V39" s="9"/>
      <c r="W39" s="9"/>
      <c r="AA39" s="9" t="s">
        <v>1020</v>
      </c>
      <c r="AB39" s="9" t="s">
        <v>622</v>
      </c>
      <c r="AC39" s="9" t="s">
        <v>1182</v>
      </c>
      <c r="AD39" t="s">
        <v>1183</v>
      </c>
      <c r="AE39" t="s">
        <v>1183</v>
      </c>
    </row>
    <row r="40" spans="1:43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AA40" s="9" t="s">
        <v>1026</v>
      </c>
      <c r="AB40" s="9" t="s">
        <v>623</v>
      </c>
      <c r="AC40" s="9" t="s">
        <v>1182</v>
      </c>
      <c r="AD40" t="s">
        <v>1183</v>
      </c>
      <c r="AE40" t="s">
        <v>1183</v>
      </c>
    </row>
    <row r="41" spans="1:43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173"/>
      <c r="N41" s="174"/>
      <c r="O41" s="174"/>
      <c r="P41" s="9"/>
      <c r="Q41" s="9"/>
      <c r="R41" s="9"/>
      <c r="S41" s="9"/>
      <c r="T41" s="9"/>
      <c r="U41" s="9"/>
      <c r="V41" s="9"/>
      <c r="W41" s="9"/>
      <c r="AA41" s="2" t="s">
        <v>79</v>
      </c>
      <c r="AB41" s="2" t="s">
        <v>624</v>
      </c>
      <c r="AC41" s="2" t="s">
        <v>1183</v>
      </c>
      <c r="AD41" t="s">
        <v>1182</v>
      </c>
      <c r="AE41" t="s">
        <v>1183</v>
      </c>
    </row>
    <row r="42" spans="1:43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174"/>
      <c r="N42" s="174"/>
      <c r="O42" s="174"/>
      <c r="P42" s="9"/>
      <c r="Q42" s="9"/>
      <c r="R42" s="9"/>
      <c r="S42" s="9"/>
      <c r="T42" s="9"/>
      <c r="U42" s="9"/>
      <c r="V42" s="9"/>
      <c r="W42" s="9"/>
      <c r="AA42" s="2" t="s">
        <v>1025</v>
      </c>
      <c r="AB42" s="2" t="s">
        <v>625</v>
      </c>
      <c r="AC42" s="2" t="s">
        <v>1183</v>
      </c>
      <c r="AD42" t="s">
        <v>1182</v>
      </c>
      <c r="AE42" t="s">
        <v>1183</v>
      </c>
    </row>
    <row r="43" spans="1:43">
      <c r="A43" s="2"/>
      <c r="B43" s="49"/>
      <c r="C43" s="49"/>
      <c r="D43" s="49"/>
      <c r="E43" s="2"/>
      <c r="F43" s="2"/>
      <c r="G43" s="2"/>
      <c r="H43" s="2"/>
      <c r="I43" s="2"/>
      <c r="J43" s="2"/>
      <c r="K43" s="2"/>
      <c r="L43" s="2"/>
      <c r="M43" s="175"/>
      <c r="N43" s="9"/>
      <c r="O43" s="9"/>
      <c r="P43" s="9"/>
      <c r="Q43" s="9"/>
      <c r="R43" s="9"/>
      <c r="S43" s="9"/>
      <c r="T43" s="9"/>
      <c r="U43" s="9"/>
      <c r="V43" s="9"/>
      <c r="W43" s="9"/>
      <c r="AA43" s="2" t="s">
        <v>1022</v>
      </c>
      <c r="AB43" s="2" t="s">
        <v>628</v>
      </c>
      <c r="AC43" s="2" t="s">
        <v>1183</v>
      </c>
      <c r="AD43" t="s">
        <v>1182</v>
      </c>
      <c r="AE43" t="s">
        <v>1183</v>
      </c>
    </row>
    <row r="44" spans="1:43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175"/>
      <c r="N44" s="9"/>
      <c r="O44" s="9"/>
      <c r="P44" s="9"/>
      <c r="Q44" s="9"/>
      <c r="R44" s="9"/>
      <c r="S44" s="9"/>
      <c r="T44" s="9"/>
      <c r="U44" s="9"/>
      <c r="V44" s="9"/>
      <c r="W44" s="9"/>
      <c r="AA44" s="2" t="s">
        <v>1021</v>
      </c>
      <c r="AB44" s="2" t="s">
        <v>627</v>
      </c>
      <c r="AC44" s="2" t="s">
        <v>1183</v>
      </c>
      <c r="AD44" t="s">
        <v>1183</v>
      </c>
      <c r="AE44" t="s">
        <v>1182</v>
      </c>
    </row>
    <row r="45" spans="1:43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8"/>
      <c r="N45" s="9"/>
      <c r="O45" s="9"/>
      <c r="P45" s="9"/>
      <c r="Q45" s="9"/>
      <c r="R45" s="9"/>
      <c r="S45" s="9"/>
      <c r="T45" s="9"/>
      <c r="U45" s="9"/>
      <c r="V45" s="9"/>
      <c r="W45" s="9"/>
      <c r="AA45" s="2" t="s">
        <v>192</v>
      </c>
      <c r="AB45" s="2" t="s">
        <v>629</v>
      </c>
      <c r="AC45" s="2" t="s">
        <v>1183</v>
      </c>
      <c r="AD45" t="s">
        <v>1183</v>
      </c>
      <c r="AE45" t="s">
        <v>1182</v>
      </c>
    </row>
    <row r="46" spans="1:43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8"/>
      <c r="N46" s="9"/>
      <c r="O46" s="9"/>
      <c r="P46" s="9"/>
      <c r="Q46" s="9"/>
      <c r="R46" s="9"/>
      <c r="S46" s="9"/>
      <c r="T46" s="9"/>
      <c r="U46" s="9"/>
      <c r="V46" s="9"/>
      <c r="W46" s="9"/>
      <c r="AA46" s="2" t="s">
        <v>399</v>
      </c>
      <c r="AB46" s="2" t="s">
        <v>626</v>
      </c>
      <c r="AC46" s="2" t="s">
        <v>1183</v>
      </c>
      <c r="AD46" t="s">
        <v>1183</v>
      </c>
      <c r="AE46" t="s">
        <v>1182</v>
      </c>
    </row>
    <row r="47" spans="1:43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8"/>
      <c r="N47" s="9"/>
      <c r="O47" s="9"/>
      <c r="P47" s="9"/>
      <c r="Q47" s="9"/>
      <c r="R47" s="9"/>
      <c r="S47" s="9"/>
      <c r="T47" s="9"/>
      <c r="U47" s="9"/>
      <c r="V47" s="9"/>
      <c r="W47" s="9"/>
    </row>
    <row r="48" spans="1:43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8"/>
      <c r="N48" s="9"/>
      <c r="O48" s="9"/>
      <c r="P48" s="9"/>
      <c r="Q48" s="9"/>
      <c r="R48" s="9"/>
      <c r="S48" s="9"/>
      <c r="T48" s="9"/>
      <c r="U48" s="9"/>
      <c r="V48" s="9"/>
      <c r="W48" s="9"/>
    </row>
    <row r="49" spans="1:23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</row>
    <row r="50" spans="1:23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9"/>
      <c r="N50" s="9"/>
      <c r="O50" s="9"/>
      <c r="P50" s="185"/>
      <c r="Q50" s="9"/>
      <c r="R50" s="9"/>
      <c r="S50" s="9"/>
      <c r="T50" s="9"/>
      <c r="U50" s="9"/>
      <c r="V50" s="9"/>
      <c r="W50" s="9"/>
    </row>
    <row r="51" spans="1:23">
      <c r="A51" s="2"/>
      <c r="B51" s="2"/>
      <c r="C51" s="2"/>
      <c r="D51" s="2"/>
      <c r="E51" s="2"/>
      <c r="F51" s="2"/>
      <c r="G51" s="2"/>
      <c r="H51" s="2"/>
      <c r="I51" s="135"/>
      <c r="J51" s="2"/>
      <c r="K51" s="2"/>
      <c r="L51" s="2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</row>
    <row r="52" spans="1:23">
      <c r="A52" s="2"/>
      <c r="B52" s="2"/>
      <c r="C52" s="2"/>
      <c r="D52" s="2"/>
      <c r="E52" s="2"/>
      <c r="F52" s="2"/>
      <c r="G52" s="2"/>
      <c r="H52" s="2"/>
      <c r="I52" s="135"/>
      <c r="J52" s="2"/>
      <c r="K52" s="2"/>
      <c r="L52" s="2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</row>
    <row r="53" spans="1:23">
      <c r="A53" s="2"/>
      <c r="B53" s="2"/>
      <c r="C53" s="2"/>
      <c r="D53" s="2"/>
      <c r="E53" s="2"/>
      <c r="F53" s="2"/>
      <c r="G53" s="2"/>
      <c r="H53" s="2"/>
      <c r="I53" s="135"/>
      <c r="J53" s="2"/>
      <c r="K53" s="2"/>
      <c r="L53" s="2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</row>
    <row r="54" spans="1:23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</row>
    <row r="55" spans="1:23">
      <c r="A55" s="2"/>
      <c r="B55" s="2"/>
      <c r="C55" s="2"/>
      <c r="D55" s="2"/>
      <c r="E55" s="2"/>
      <c r="F55" s="2"/>
      <c r="G55" s="182"/>
      <c r="H55" s="2"/>
      <c r="I55" s="2"/>
      <c r="J55" s="2"/>
      <c r="K55" s="2"/>
      <c r="L55" s="42"/>
      <c r="M55" s="127"/>
      <c r="N55" s="127"/>
      <c r="O55" s="127"/>
      <c r="P55" s="9"/>
      <c r="Q55" s="9"/>
      <c r="R55" s="9"/>
      <c r="S55" s="9"/>
      <c r="T55" s="9"/>
      <c r="U55" s="9"/>
      <c r="V55" s="9"/>
      <c r="W55" s="9"/>
    </row>
    <row r="56" spans="1:23">
      <c r="A56" s="2"/>
      <c r="B56" s="2"/>
      <c r="C56" s="2"/>
      <c r="D56" s="2"/>
      <c r="E56" s="2"/>
      <c r="F56" s="2"/>
      <c r="G56" s="182"/>
      <c r="H56" s="2"/>
      <c r="I56" s="77"/>
      <c r="J56" s="2"/>
      <c r="K56" s="2"/>
      <c r="L56" s="42"/>
      <c r="M56" s="60"/>
      <c r="N56" s="60"/>
      <c r="O56" s="60"/>
      <c r="P56" s="174"/>
      <c r="Q56" s="9"/>
      <c r="R56" s="31"/>
      <c r="S56" s="9"/>
      <c r="T56" s="9"/>
      <c r="U56" s="9"/>
      <c r="V56" s="9"/>
      <c r="W56" s="9"/>
    </row>
    <row r="57" spans="1:23">
      <c r="A57" s="2"/>
      <c r="B57" s="2"/>
      <c r="C57" s="2"/>
      <c r="D57" s="2"/>
      <c r="E57" s="2"/>
      <c r="F57" s="2"/>
      <c r="G57" s="182"/>
      <c r="H57" s="2"/>
      <c r="I57" s="77"/>
      <c r="J57" s="2"/>
      <c r="K57" s="2"/>
      <c r="L57" s="42"/>
      <c r="M57" s="60"/>
      <c r="N57" s="23"/>
      <c r="O57" s="60"/>
      <c r="P57" s="174"/>
      <c r="Q57" s="9"/>
      <c r="R57" s="31"/>
      <c r="S57" s="9"/>
      <c r="T57" s="9"/>
      <c r="U57" s="9"/>
      <c r="V57" s="9"/>
      <c r="W57" s="9"/>
    </row>
    <row r="58" spans="1:23">
      <c r="A58" s="2"/>
      <c r="B58" s="2"/>
      <c r="C58" s="2"/>
      <c r="D58" s="2"/>
      <c r="E58" s="2"/>
      <c r="F58" s="2"/>
      <c r="G58" s="182"/>
      <c r="H58" s="2"/>
      <c r="I58" s="190"/>
      <c r="J58" s="2"/>
      <c r="K58" s="2"/>
      <c r="L58" s="42"/>
      <c r="M58" s="23"/>
      <c r="N58" s="23"/>
      <c r="O58" s="60"/>
      <c r="P58" s="174"/>
      <c r="Q58" s="9"/>
      <c r="R58" s="31"/>
      <c r="S58" s="9"/>
      <c r="T58" s="9"/>
      <c r="U58" s="9"/>
      <c r="V58" s="9"/>
      <c r="W58" s="9"/>
    </row>
    <row r="59" spans="1:23">
      <c r="A59" s="2"/>
      <c r="B59" s="2"/>
      <c r="C59" s="2"/>
      <c r="D59" s="2"/>
      <c r="E59" s="2"/>
      <c r="F59" s="2"/>
      <c r="G59" s="182"/>
      <c r="H59" s="2"/>
      <c r="I59" s="2"/>
      <c r="J59" s="2"/>
      <c r="K59" s="2"/>
      <c r="L59" s="42"/>
      <c r="M59" s="23"/>
      <c r="N59" s="60"/>
      <c r="O59" s="60"/>
      <c r="P59" s="174"/>
      <c r="Q59" s="9"/>
      <c r="R59" s="9"/>
      <c r="S59" s="9"/>
      <c r="T59" s="9"/>
      <c r="U59" s="9"/>
      <c r="V59" s="9"/>
      <c r="W59" s="9"/>
    </row>
    <row r="60" spans="1:23">
      <c r="A60" s="2"/>
      <c r="B60" s="2"/>
      <c r="C60" s="2"/>
      <c r="D60" s="2"/>
      <c r="E60" s="2"/>
      <c r="F60" s="2"/>
      <c r="G60" s="2"/>
      <c r="H60" s="2"/>
      <c r="I60" s="77"/>
      <c r="J60" s="2"/>
      <c r="K60" s="2"/>
      <c r="L60" s="42"/>
      <c r="M60" s="60"/>
      <c r="N60" s="60"/>
      <c r="O60" s="60"/>
      <c r="P60" s="174"/>
      <c r="Q60" s="9"/>
      <c r="R60" s="31"/>
      <c r="S60" s="9"/>
      <c r="T60" s="9"/>
      <c r="U60" s="9"/>
      <c r="V60" s="9"/>
      <c r="W60" s="9"/>
    </row>
    <row r="61" spans="1:23">
      <c r="A61" s="2"/>
      <c r="B61" s="2"/>
      <c r="C61" s="42"/>
      <c r="D61" s="42"/>
      <c r="E61" s="42"/>
      <c r="F61" s="2"/>
      <c r="G61" s="2"/>
      <c r="H61" s="2"/>
      <c r="I61" s="77"/>
      <c r="J61" s="2"/>
      <c r="K61" s="2"/>
      <c r="L61" s="42"/>
      <c r="M61" s="174"/>
      <c r="N61" s="174"/>
      <c r="O61" s="23"/>
      <c r="P61" s="174"/>
      <c r="Q61" s="9"/>
      <c r="R61" s="31"/>
      <c r="S61" s="9"/>
      <c r="T61" s="9"/>
      <c r="U61" s="9"/>
      <c r="V61" s="9"/>
      <c r="W61" s="9"/>
    </row>
    <row r="62" spans="1:23">
      <c r="A62" s="2"/>
      <c r="B62" s="2"/>
      <c r="C62" s="42"/>
      <c r="D62" s="42"/>
      <c r="E62" s="42"/>
      <c r="F62" s="2"/>
      <c r="G62" s="2"/>
      <c r="H62" s="2"/>
      <c r="I62" s="2"/>
      <c r="J62" s="2"/>
      <c r="K62" s="2"/>
      <c r="L62" s="2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</row>
    <row r="63" spans="1:23">
      <c r="A63" s="2"/>
      <c r="B63" s="2"/>
      <c r="C63" s="2"/>
      <c r="D63" s="2"/>
      <c r="E63" s="2"/>
      <c r="F63" s="2"/>
      <c r="G63" s="2"/>
      <c r="H63" s="191"/>
      <c r="I63" s="2"/>
      <c r="J63" s="2"/>
      <c r="K63" s="2"/>
      <c r="L63" s="2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</row>
    <row r="64" spans="1:23">
      <c r="A64" s="2"/>
      <c r="B64" s="2"/>
      <c r="C64" s="2"/>
      <c r="D64" s="2"/>
      <c r="E64" s="2"/>
      <c r="F64" s="2"/>
      <c r="G64" s="2"/>
      <c r="H64" s="2"/>
      <c r="I64" s="2"/>
      <c r="J64" s="42"/>
      <c r="K64" s="42"/>
      <c r="L64" s="2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</row>
    <row r="65" spans="1:24">
      <c r="A65" s="2"/>
      <c r="B65" s="2"/>
      <c r="C65" s="2"/>
      <c r="D65" s="2"/>
      <c r="E65" s="2"/>
      <c r="F65" s="2"/>
      <c r="G65" s="2"/>
      <c r="H65" s="42"/>
      <c r="I65" s="2"/>
      <c r="J65" s="42"/>
      <c r="K65" s="42"/>
      <c r="L65" s="2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</row>
    <row r="66" spans="1:24">
      <c r="A66" s="2"/>
      <c r="B66" s="2"/>
      <c r="C66" s="2"/>
      <c r="D66" s="2"/>
      <c r="E66" s="2"/>
      <c r="F66" s="2"/>
      <c r="G66" s="2"/>
      <c r="H66" s="42"/>
      <c r="I66" s="2"/>
      <c r="J66" s="42"/>
      <c r="K66" s="42"/>
      <c r="L66" s="2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</row>
    <row r="67" spans="1:24">
      <c r="A67" s="2"/>
      <c r="B67" s="2"/>
      <c r="C67" s="2"/>
      <c r="D67" s="2"/>
      <c r="E67" s="2"/>
      <c r="F67" s="2"/>
      <c r="G67" s="2"/>
      <c r="H67" s="42"/>
      <c r="I67" s="2"/>
      <c r="J67" s="42"/>
      <c r="K67" s="42"/>
      <c r="L67" s="2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</row>
    <row r="68" spans="1:24">
      <c r="A68" s="2"/>
      <c r="B68" s="2"/>
      <c r="C68" s="2"/>
      <c r="D68" s="2"/>
      <c r="E68" s="2"/>
      <c r="F68" s="2"/>
      <c r="G68" s="2"/>
      <c r="H68" s="42"/>
      <c r="I68" s="2"/>
      <c r="J68" s="42"/>
      <c r="K68" s="42"/>
      <c r="L68" s="2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</row>
    <row r="69" spans="1:24">
      <c r="A69" s="2"/>
      <c r="B69" s="2"/>
      <c r="C69" s="2"/>
      <c r="D69" s="2"/>
      <c r="E69" s="2"/>
      <c r="F69" s="2"/>
      <c r="G69" s="2"/>
      <c r="H69" s="42"/>
      <c r="I69" s="2"/>
      <c r="J69" s="42"/>
      <c r="K69" s="42"/>
      <c r="L69" s="2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</row>
    <row r="70" spans="1:24">
      <c r="A70" s="2"/>
      <c r="B70" s="2"/>
      <c r="C70" s="2"/>
      <c r="D70" s="2"/>
      <c r="E70" s="2"/>
      <c r="F70" s="2"/>
      <c r="G70" s="2"/>
      <c r="H70" s="42"/>
      <c r="I70" s="2"/>
      <c r="J70" s="42"/>
      <c r="K70" s="42"/>
      <c r="L70" s="2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</row>
    <row r="71" spans="1:24">
      <c r="A71" s="192"/>
      <c r="B71" s="2"/>
      <c r="C71" s="2"/>
      <c r="D71" s="2"/>
      <c r="E71" s="2"/>
      <c r="F71" s="2"/>
      <c r="G71" s="2"/>
      <c r="H71" s="42"/>
      <c r="I71" s="2"/>
      <c r="J71" s="42"/>
      <c r="K71" s="42"/>
      <c r="L71" s="2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</row>
    <row r="72" spans="1:24">
      <c r="A72" s="2"/>
      <c r="B72" s="2"/>
      <c r="C72" s="2"/>
      <c r="D72" s="2"/>
      <c r="E72" s="2"/>
      <c r="F72" s="2"/>
      <c r="G72" s="2"/>
      <c r="H72" s="2"/>
      <c r="I72" s="2"/>
      <c r="J72" s="42"/>
      <c r="K72" s="42"/>
      <c r="L72" s="2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</row>
    <row r="73" spans="1:24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</row>
    <row r="74" spans="1:24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</row>
    <row r="75" spans="1:24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</row>
    <row r="76" spans="1:24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</row>
    <row r="77" spans="1:24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186"/>
    </row>
    <row r="78" spans="1:24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186"/>
    </row>
    <row r="79" spans="1:24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156"/>
      <c r="M79" s="42"/>
      <c r="N79" s="42"/>
      <c r="O79" s="42"/>
      <c r="P79" s="187"/>
      <c r="Q79" s="2"/>
      <c r="R79" s="2"/>
      <c r="S79" s="187"/>
      <c r="T79" s="2"/>
      <c r="U79" s="2"/>
      <c r="V79" s="187"/>
      <c r="W79" s="2"/>
      <c r="X79" s="2"/>
    </row>
    <row r="80" spans="1:24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156"/>
      <c r="M80" s="42"/>
      <c r="N80" s="42"/>
      <c r="O80" s="42"/>
      <c r="P80" s="187"/>
      <c r="Q80" s="2"/>
      <c r="R80" s="2"/>
      <c r="S80" s="187"/>
      <c r="T80" s="2"/>
      <c r="U80" s="2"/>
      <c r="V80" s="2"/>
      <c r="W80" s="2"/>
      <c r="X80" s="186"/>
    </row>
    <row r="81" spans="1:24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156"/>
      <c r="M81" s="42"/>
      <c r="N81" s="42"/>
      <c r="O81" s="42"/>
      <c r="P81" s="187"/>
      <c r="Q81" s="2"/>
      <c r="R81" s="2"/>
      <c r="S81" s="187"/>
      <c r="T81" s="2"/>
      <c r="U81" s="2"/>
      <c r="V81" s="2"/>
      <c r="W81" s="2"/>
      <c r="X81" s="186"/>
    </row>
    <row r="82" spans="1:24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156"/>
      <c r="M82" s="42"/>
      <c r="N82" s="42"/>
      <c r="O82" s="42"/>
      <c r="P82" s="187"/>
      <c r="Q82" s="2"/>
      <c r="R82" s="2"/>
      <c r="S82" s="187"/>
      <c r="T82" s="2"/>
      <c r="U82" s="2"/>
      <c r="V82" s="2"/>
      <c r="W82" s="2"/>
      <c r="X82" s="186"/>
    </row>
    <row r="83" spans="1:24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156"/>
      <c r="M83" s="42"/>
      <c r="N83" s="42"/>
      <c r="O83" s="42"/>
      <c r="P83" s="187"/>
      <c r="Q83" s="2"/>
      <c r="R83" s="2"/>
      <c r="S83" s="187"/>
      <c r="T83" s="2"/>
      <c r="U83" s="2"/>
      <c r="V83" s="2"/>
      <c r="W83" s="2"/>
      <c r="X83" s="186"/>
    </row>
    <row r="84" spans="1:24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156"/>
      <c r="M84" s="42"/>
      <c r="N84" s="42"/>
      <c r="O84" s="42"/>
      <c r="P84" s="187"/>
      <c r="Q84" s="2"/>
      <c r="R84" s="2"/>
      <c r="S84" s="187"/>
      <c r="T84" s="2"/>
      <c r="U84" s="2"/>
      <c r="V84" s="2"/>
      <c r="W84" s="2"/>
      <c r="X84" s="186"/>
    </row>
    <row r="85" spans="1:24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156"/>
      <c r="M85" s="42"/>
      <c r="N85" s="42"/>
      <c r="O85" s="42"/>
      <c r="P85" s="187"/>
      <c r="Q85" s="2"/>
      <c r="R85" s="2"/>
      <c r="S85" s="187"/>
      <c r="T85" s="2"/>
      <c r="U85" s="2"/>
      <c r="V85" s="2"/>
      <c r="W85" s="2"/>
      <c r="X85" s="186"/>
    </row>
    <row r="86" spans="1:24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156"/>
      <c r="M86" s="42"/>
      <c r="N86" s="42"/>
      <c r="O86" s="42"/>
      <c r="P86" s="187"/>
      <c r="Q86" s="2"/>
      <c r="R86" s="2"/>
      <c r="S86" s="187"/>
      <c r="T86" s="2"/>
      <c r="U86" s="2"/>
      <c r="V86" s="2"/>
      <c r="W86" s="2"/>
      <c r="X86" s="186"/>
    </row>
    <row r="87" spans="1:24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156"/>
      <c r="M87" s="42"/>
      <c r="N87" s="42"/>
      <c r="O87" s="42"/>
      <c r="P87" s="187"/>
      <c r="Q87" s="2"/>
      <c r="R87" s="2"/>
      <c r="S87" s="187"/>
      <c r="T87" s="2"/>
      <c r="U87" s="2"/>
      <c r="V87" s="2"/>
      <c r="W87" s="2"/>
      <c r="X87" s="186"/>
    </row>
    <row r="88" spans="1:24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156"/>
      <c r="M88" s="42"/>
      <c r="N88" s="42"/>
      <c r="O88" s="42"/>
      <c r="P88" s="187"/>
      <c r="Q88" s="2"/>
      <c r="R88" s="2"/>
      <c r="S88" s="187"/>
      <c r="T88" s="2"/>
      <c r="U88" s="2"/>
      <c r="V88" s="2"/>
      <c r="W88" s="2"/>
      <c r="X88" s="186"/>
    </row>
    <row r="89" spans="1:24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156"/>
      <c r="M89" s="42"/>
      <c r="N89" s="42"/>
      <c r="O89" s="42"/>
      <c r="P89" s="187"/>
      <c r="Q89" s="2"/>
      <c r="R89" s="2"/>
      <c r="S89" s="187"/>
      <c r="T89" s="2"/>
      <c r="U89" s="2"/>
      <c r="V89" s="2"/>
      <c r="W89" s="2"/>
      <c r="X89" s="186"/>
    </row>
    <row r="90" spans="1:24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156"/>
      <c r="M90" s="42"/>
      <c r="N90" s="42"/>
      <c r="O90" s="42"/>
      <c r="P90" s="187"/>
      <c r="Q90" s="2"/>
      <c r="R90" s="2"/>
      <c r="S90" s="187"/>
      <c r="T90" s="2"/>
      <c r="U90" s="2"/>
      <c r="V90" s="2"/>
      <c r="W90" s="2"/>
      <c r="X90" s="186"/>
    </row>
    <row r="91" spans="1:24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156"/>
      <c r="M91" s="42"/>
      <c r="N91" s="42"/>
      <c r="O91" s="42"/>
      <c r="P91" s="187"/>
      <c r="Q91" s="2"/>
      <c r="R91" s="2"/>
      <c r="S91" s="187"/>
      <c r="T91" s="2"/>
      <c r="U91" s="2"/>
      <c r="V91" s="2"/>
      <c r="W91" s="2"/>
      <c r="X91" s="186"/>
    </row>
    <row r="92" spans="1:24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156"/>
      <c r="M92" s="42"/>
      <c r="N92" s="42"/>
      <c r="O92" s="42"/>
      <c r="P92" s="187"/>
      <c r="Q92" s="2"/>
      <c r="R92" s="2"/>
      <c r="S92" s="187"/>
      <c r="T92" s="2"/>
      <c r="U92" s="2"/>
      <c r="V92" s="2"/>
      <c r="W92" s="2"/>
      <c r="X92" s="186"/>
    </row>
    <row r="93" spans="1:24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156"/>
      <c r="M93" s="42"/>
      <c r="N93" s="42"/>
      <c r="O93" s="42"/>
      <c r="P93" s="187"/>
      <c r="Q93" s="2"/>
      <c r="R93" s="2"/>
      <c r="S93" s="187"/>
      <c r="T93" s="2"/>
      <c r="U93" s="2"/>
      <c r="V93" s="2"/>
      <c r="W93" s="2"/>
      <c r="X93" s="186"/>
    </row>
    <row r="94" spans="1:24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156"/>
      <c r="M94" s="42"/>
      <c r="N94" s="42"/>
      <c r="O94" s="42"/>
      <c r="P94" s="187"/>
      <c r="Q94" s="2"/>
      <c r="R94" s="2"/>
      <c r="S94" s="187"/>
      <c r="T94" s="2"/>
      <c r="U94" s="2"/>
      <c r="V94" s="2"/>
      <c r="W94" s="2"/>
      <c r="X94" s="186"/>
    </row>
    <row r="95" spans="1:24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156"/>
      <c r="M95" s="42"/>
      <c r="N95" s="42"/>
      <c r="O95" s="42"/>
      <c r="P95" s="187"/>
      <c r="Q95" s="2"/>
      <c r="R95" s="2"/>
      <c r="S95" s="187"/>
      <c r="T95" s="2"/>
      <c r="U95" s="2"/>
      <c r="V95" s="2"/>
      <c r="W95" s="2"/>
      <c r="X95" s="186"/>
    </row>
    <row r="96" spans="1:24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156"/>
      <c r="M96" s="42"/>
      <c r="N96" s="42"/>
      <c r="O96" s="42"/>
      <c r="P96" s="187"/>
      <c r="Q96" s="2"/>
      <c r="R96" s="2"/>
      <c r="S96" s="187"/>
      <c r="T96" s="2"/>
      <c r="U96" s="2"/>
      <c r="V96" s="2"/>
      <c r="W96" s="2"/>
      <c r="X96" s="186"/>
    </row>
    <row r="97" spans="1:24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156"/>
      <c r="M97" s="42"/>
      <c r="N97" s="42"/>
      <c r="O97" s="42"/>
      <c r="P97" s="187"/>
      <c r="Q97" s="2"/>
      <c r="R97" s="2"/>
      <c r="S97" s="187"/>
      <c r="T97" s="2"/>
      <c r="U97" s="2"/>
      <c r="V97" s="2"/>
      <c r="W97" s="2"/>
      <c r="X97" s="186"/>
    </row>
    <row r="98" spans="1:24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17"/>
      <c r="M98" s="42"/>
      <c r="N98" s="42"/>
      <c r="O98" s="42"/>
      <c r="P98" s="187"/>
      <c r="Q98" s="2"/>
      <c r="R98" s="2"/>
      <c r="S98" s="187"/>
      <c r="T98" s="2"/>
      <c r="U98" s="2"/>
      <c r="V98" s="2"/>
      <c r="W98" s="2"/>
      <c r="X98" s="186"/>
    </row>
    <row r="99" spans="1:24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156"/>
      <c r="M99" s="42"/>
      <c r="N99" s="42"/>
      <c r="O99" s="42"/>
      <c r="P99" s="187"/>
      <c r="Q99" s="2"/>
      <c r="R99" s="2"/>
      <c r="S99" s="187"/>
      <c r="T99" s="2"/>
      <c r="U99" s="2"/>
      <c r="V99" s="2"/>
      <c r="W99" s="2"/>
      <c r="X99" s="186"/>
    </row>
    <row r="100" spans="1:24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156"/>
      <c r="M100" s="42"/>
      <c r="N100" s="42"/>
      <c r="O100" s="42"/>
      <c r="P100" s="187"/>
      <c r="Q100" s="2"/>
      <c r="R100" s="2"/>
      <c r="S100" s="187"/>
      <c r="T100" s="2"/>
      <c r="U100" s="2"/>
      <c r="V100" s="2"/>
      <c r="W100" s="2"/>
      <c r="X100" s="186"/>
    </row>
    <row r="101" spans="1:24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156"/>
      <c r="M101" s="42"/>
      <c r="N101" s="42"/>
      <c r="O101" s="42"/>
      <c r="P101" s="187"/>
      <c r="Q101" s="2"/>
      <c r="R101" s="2"/>
      <c r="S101" s="187"/>
      <c r="T101" s="2"/>
      <c r="U101" s="2"/>
      <c r="V101" s="2"/>
      <c r="W101" s="2"/>
      <c r="X101" s="186"/>
    </row>
    <row r="102" spans="1:24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156"/>
      <c r="M102" s="42"/>
      <c r="N102" s="42"/>
      <c r="O102" s="42"/>
      <c r="P102" s="187"/>
      <c r="Q102" s="2"/>
      <c r="R102" s="2"/>
      <c r="S102" s="187"/>
      <c r="T102" s="2"/>
      <c r="U102" s="2"/>
      <c r="V102" s="2"/>
      <c r="W102" s="2"/>
      <c r="X102" s="186"/>
    </row>
    <row r="103" spans="1:24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156"/>
      <c r="M103" s="42"/>
      <c r="N103" s="42"/>
      <c r="O103" s="42"/>
      <c r="P103" s="187"/>
      <c r="Q103" s="2"/>
      <c r="R103" s="2"/>
      <c r="S103" s="187"/>
      <c r="T103" s="2"/>
      <c r="U103" s="2"/>
      <c r="V103" s="2"/>
      <c r="W103" s="2"/>
      <c r="X103" s="186"/>
    </row>
    <row r="104" spans="1:24">
      <c r="A104" s="2"/>
      <c r="B104" s="181"/>
      <c r="C104" s="2"/>
      <c r="D104" s="158"/>
      <c r="E104" s="2"/>
      <c r="F104" s="2"/>
      <c r="G104" s="2"/>
      <c r="H104" s="2"/>
      <c r="I104" s="2"/>
      <c r="J104" s="2"/>
      <c r="K104" s="2"/>
      <c r="L104" s="156"/>
      <c r="M104" s="42"/>
      <c r="N104" s="42"/>
      <c r="O104" s="42"/>
      <c r="P104" s="187"/>
      <c r="Q104" s="2"/>
      <c r="R104" s="2"/>
      <c r="S104" s="187"/>
      <c r="T104" s="2"/>
      <c r="U104" s="2"/>
      <c r="V104" s="2"/>
      <c r="W104" s="2"/>
      <c r="X104" s="186"/>
    </row>
    <row r="105" spans="1:24">
      <c r="A105" s="2"/>
      <c r="B105" s="181"/>
      <c r="C105" s="2"/>
      <c r="D105" s="158"/>
      <c r="E105" s="2"/>
      <c r="F105" s="2"/>
      <c r="G105" s="2"/>
      <c r="H105" s="2"/>
      <c r="I105" s="2"/>
      <c r="J105" s="2"/>
      <c r="K105" s="2"/>
      <c r="L105" s="17"/>
      <c r="M105" s="42"/>
      <c r="N105" s="42"/>
      <c r="O105" s="42"/>
      <c r="P105" s="187"/>
      <c r="Q105" s="2"/>
      <c r="R105" s="2"/>
      <c r="S105" s="187"/>
      <c r="T105" s="2"/>
      <c r="U105" s="2"/>
      <c r="V105" s="2"/>
      <c r="W105" s="2"/>
      <c r="X105" s="186"/>
    </row>
    <row r="106" spans="1:24">
      <c r="A106" s="2"/>
      <c r="B106" s="181"/>
      <c r="C106" s="2"/>
      <c r="D106" s="158"/>
      <c r="E106" s="2"/>
      <c r="F106" s="2"/>
      <c r="G106" s="2"/>
      <c r="H106" s="2"/>
      <c r="I106" s="2"/>
      <c r="J106" s="2"/>
      <c r="K106" s="2"/>
      <c r="L106" s="156"/>
      <c r="M106" s="42"/>
      <c r="N106" s="42"/>
      <c r="O106" s="42"/>
      <c r="P106" s="187"/>
      <c r="Q106" s="2"/>
      <c r="R106" s="2"/>
      <c r="S106" s="187"/>
      <c r="T106" s="2"/>
      <c r="U106" s="2"/>
      <c r="V106" s="2"/>
      <c r="W106" s="2"/>
      <c r="X106" s="186"/>
    </row>
    <row r="107" spans="1:24">
      <c r="A107" s="2"/>
      <c r="B107" s="181"/>
      <c r="C107" s="2"/>
      <c r="D107" s="158"/>
      <c r="E107" s="2"/>
      <c r="F107" s="2"/>
      <c r="G107" s="2"/>
      <c r="H107" s="2"/>
      <c r="I107" s="2"/>
      <c r="J107" s="2"/>
      <c r="K107" s="2"/>
      <c r="L107" s="156"/>
      <c r="M107" s="42"/>
      <c r="N107" s="42"/>
      <c r="O107" s="42"/>
      <c r="P107" s="187"/>
      <c r="Q107" s="2"/>
      <c r="R107" s="2"/>
      <c r="S107" s="187"/>
      <c r="T107" s="2"/>
      <c r="U107" s="2"/>
      <c r="V107" s="2"/>
      <c r="W107" s="2"/>
      <c r="X107" s="186"/>
    </row>
    <row r="108" spans="1:24">
      <c r="A108" s="2"/>
      <c r="B108" s="181"/>
      <c r="C108" s="2"/>
      <c r="D108" s="158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186"/>
    </row>
    <row r="109" spans="1:24">
      <c r="A109" s="2"/>
      <c r="B109" s="181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186"/>
    </row>
    <row r="110" spans="1:24">
      <c r="A110" s="2"/>
      <c r="B110" s="181"/>
      <c r="C110" s="2"/>
      <c r="D110" s="50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186"/>
    </row>
    <row r="111" spans="1:24">
      <c r="A111" s="2"/>
      <c r="B111" s="2"/>
      <c r="C111" s="2"/>
      <c r="D111" s="158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186"/>
    </row>
    <row r="112" spans="1:24">
      <c r="A112" s="2"/>
      <c r="B112" s="193"/>
      <c r="C112" s="2"/>
      <c r="D112" s="158"/>
      <c r="E112" s="2"/>
      <c r="F112" s="2"/>
      <c r="G112" s="2"/>
      <c r="H112" s="2"/>
      <c r="I112" s="2"/>
      <c r="J112" s="2"/>
      <c r="K112" s="2"/>
      <c r="L112" s="50"/>
      <c r="M112" s="188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186"/>
    </row>
    <row r="113" spans="1:24">
      <c r="A113" s="2"/>
      <c r="B113" s="194"/>
      <c r="C113" s="2"/>
      <c r="D113" s="158"/>
      <c r="E113" s="2"/>
      <c r="F113" s="2"/>
      <c r="G113" s="2"/>
      <c r="H113" s="2"/>
      <c r="I113" s="2"/>
      <c r="J113" s="2"/>
      <c r="K113" s="2"/>
      <c r="L113" s="2"/>
      <c r="M113" s="189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186"/>
    </row>
    <row r="114" spans="1:24">
      <c r="A114" s="2"/>
      <c r="B114" s="194"/>
      <c r="C114" s="2"/>
      <c r="D114" s="158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186"/>
    </row>
    <row r="115" spans="1:24">
      <c r="A115" s="2"/>
      <c r="B115" s="194"/>
      <c r="C115" s="2"/>
      <c r="D115" s="158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186"/>
    </row>
    <row r="116" spans="1:24">
      <c r="A116" s="2"/>
      <c r="B116" s="194"/>
      <c r="C116" s="2"/>
      <c r="D116" s="158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186"/>
    </row>
    <row r="117" spans="1:24">
      <c r="A117" s="2"/>
      <c r="B117" s="194"/>
      <c r="C117" s="2"/>
      <c r="D117" s="158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186"/>
    </row>
    <row r="118" spans="1:24">
      <c r="A118" s="2"/>
      <c r="B118" s="194"/>
      <c r="C118" s="2"/>
      <c r="D118" s="50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186"/>
    </row>
    <row r="119" spans="1:24">
      <c r="A119" s="2"/>
      <c r="B119" s="194"/>
      <c r="C119" s="2"/>
      <c r="D119" s="158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186"/>
    </row>
    <row r="120" spans="1:24">
      <c r="A120" s="2"/>
      <c r="B120" s="194"/>
      <c r="C120" s="2"/>
      <c r="D120" s="158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186"/>
    </row>
    <row r="121" spans="1:24">
      <c r="A121" s="2"/>
      <c r="B121" s="194"/>
      <c r="C121" s="2"/>
      <c r="D121" s="158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186"/>
    </row>
    <row r="122" spans="1:24">
      <c r="A122" s="2"/>
      <c r="B122" s="2"/>
      <c r="C122" s="2"/>
      <c r="D122" s="158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186"/>
    </row>
    <row r="123" spans="1:24">
      <c r="A123" s="2"/>
      <c r="B123" s="194"/>
      <c r="C123" s="2"/>
      <c r="D123" s="158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186"/>
    </row>
    <row r="124" spans="1:24">
      <c r="A124" s="2"/>
      <c r="B124" s="194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186"/>
    </row>
    <row r="125" spans="1:24">
      <c r="A125" s="2"/>
      <c r="B125" s="194"/>
      <c r="C125" s="2"/>
      <c r="D125" s="50"/>
      <c r="E125" s="2"/>
      <c r="F125" s="2"/>
      <c r="G125" s="2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2"/>
      <c r="T125" s="2"/>
      <c r="U125" s="2"/>
      <c r="V125" s="2"/>
      <c r="W125" s="2"/>
      <c r="X125" s="186"/>
    </row>
    <row r="126" spans="1:24">
      <c r="A126" s="2"/>
      <c r="B126" s="194"/>
      <c r="C126" s="2"/>
      <c r="D126" s="158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186"/>
    </row>
    <row r="127" spans="1:24">
      <c r="A127" s="2"/>
      <c r="B127" s="194"/>
      <c r="C127" s="2"/>
      <c r="D127" s="158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186"/>
    </row>
    <row r="128" spans="1:24">
      <c r="A128" s="2"/>
      <c r="B128" s="194"/>
      <c r="C128" s="2"/>
      <c r="D128" s="158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186"/>
    </row>
    <row r="129" spans="1:24">
      <c r="A129" s="2"/>
      <c r="B129" s="194"/>
      <c r="C129" s="2"/>
      <c r="D129" s="158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186"/>
    </row>
    <row r="130" spans="1:24">
      <c r="A130" s="2"/>
      <c r="B130" s="194"/>
      <c r="C130" s="2"/>
      <c r="D130" s="158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186"/>
    </row>
    <row r="131" spans="1:24">
      <c r="A131" s="2"/>
      <c r="B131" s="194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186"/>
    </row>
    <row r="132" spans="1:24">
      <c r="A132" s="2"/>
      <c r="B132" s="2"/>
      <c r="C132" s="2"/>
      <c r="D132" s="50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186"/>
    </row>
    <row r="133" spans="1:24">
      <c r="A133" s="2"/>
      <c r="B133" s="194"/>
      <c r="C133" s="2"/>
      <c r="D133" s="158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186"/>
    </row>
    <row r="134" spans="1:24">
      <c r="A134" s="2"/>
      <c r="B134" s="194"/>
      <c r="C134" s="2"/>
      <c r="D134" s="158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186"/>
    </row>
    <row r="135" spans="1:24">
      <c r="A135" s="2"/>
      <c r="B135" s="194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186"/>
    </row>
    <row r="136" spans="1:24">
      <c r="A136" s="2"/>
      <c r="B136" s="194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186"/>
    </row>
    <row r="137" spans="1:24">
      <c r="A137" s="2"/>
      <c r="B137" s="194"/>
      <c r="C137" s="2"/>
      <c r="D137" s="158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186"/>
    </row>
    <row r="138" spans="1:24">
      <c r="A138" s="2"/>
      <c r="B138" s="194"/>
      <c r="C138" s="2"/>
      <c r="D138" s="158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186"/>
    </row>
    <row r="139" spans="1:24">
      <c r="A139" s="2"/>
      <c r="B139" s="2"/>
      <c r="C139" s="2"/>
      <c r="D139" s="158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186"/>
    </row>
    <row r="140" spans="1:24">
      <c r="A140" s="2"/>
      <c r="B140" s="2"/>
      <c r="C140" s="2"/>
      <c r="D140" s="158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186"/>
    </row>
    <row r="141" spans="1:24">
      <c r="A141" s="2"/>
      <c r="B141" s="2"/>
      <c r="C141" s="2"/>
      <c r="D141" s="158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186"/>
    </row>
    <row r="142" spans="1:24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186"/>
    </row>
    <row r="143" spans="1:24">
      <c r="A143" s="2"/>
      <c r="B143" s="2"/>
      <c r="C143" s="2"/>
      <c r="D143" s="50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186"/>
    </row>
    <row r="144" spans="1:24">
      <c r="A144" s="2"/>
      <c r="B144" s="2"/>
      <c r="C144" s="2"/>
      <c r="D144" s="158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186"/>
    </row>
    <row r="145" spans="1:24">
      <c r="A145" s="2"/>
      <c r="B145" s="2"/>
      <c r="C145" s="2"/>
      <c r="D145" s="158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186"/>
    </row>
    <row r="146" spans="1:24">
      <c r="A146" s="2"/>
      <c r="B146" s="2"/>
      <c r="C146" s="2"/>
      <c r="D146" s="158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186"/>
    </row>
    <row r="147" spans="1:24">
      <c r="A147" s="2"/>
      <c r="B147" s="2"/>
      <c r="C147" s="2"/>
      <c r="D147" s="158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186"/>
    </row>
    <row r="148" spans="1:24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186"/>
    </row>
    <row r="149" spans="1:24">
      <c r="A149" s="2"/>
      <c r="B149" s="2"/>
      <c r="C149" s="2"/>
      <c r="D149" s="50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186"/>
    </row>
    <row r="150" spans="1:24">
      <c r="A150" s="2"/>
      <c r="B150" s="2"/>
      <c r="C150" s="2"/>
      <c r="D150" s="158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186"/>
    </row>
    <row r="151" spans="1:24">
      <c r="A151" s="2"/>
      <c r="B151" s="2"/>
      <c r="C151" s="2"/>
      <c r="D151" s="158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186"/>
    </row>
    <row r="152" spans="1:24">
      <c r="A152" s="2"/>
      <c r="B152" s="2"/>
      <c r="C152" s="2"/>
      <c r="D152" s="158"/>
      <c r="E152" s="2"/>
      <c r="F152" s="2"/>
      <c r="G152" s="2"/>
      <c r="H152" s="2"/>
      <c r="I152" s="2"/>
      <c r="J152" s="2"/>
      <c r="K152" s="2"/>
      <c r="L152" s="2"/>
      <c r="M152" s="186"/>
      <c r="N152" s="186"/>
      <c r="O152" s="186"/>
      <c r="P152" s="186"/>
      <c r="Q152" s="186"/>
      <c r="R152" s="186"/>
      <c r="S152" s="186"/>
      <c r="T152" s="186"/>
      <c r="U152" s="186"/>
      <c r="V152" s="186"/>
      <c r="W152" s="186"/>
      <c r="X152" s="186"/>
    </row>
    <row r="153" spans="1:24">
      <c r="A153" s="2"/>
      <c r="B153" s="2"/>
      <c r="C153" s="2"/>
      <c r="D153" s="158"/>
      <c r="E153" s="2"/>
      <c r="F153" s="2"/>
      <c r="G153" s="2"/>
      <c r="H153" s="2"/>
      <c r="I153" s="2"/>
      <c r="J153" s="2"/>
      <c r="K153" s="2"/>
      <c r="L153" s="2"/>
      <c r="M153" s="186"/>
      <c r="N153" s="186"/>
      <c r="O153" s="186"/>
      <c r="P153" s="186"/>
      <c r="Q153" s="186"/>
      <c r="R153" s="186"/>
      <c r="S153" s="186"/>
      <c r="T153" s="186"/>
      <c r="U153" s="186"/>
      <c r="V153" s="186"/>
      <c r="W153" s="186"/>
      <c r="X153" s="186"/>
    </row>
    <row r="154" spans="1:24">
      <c r="A154" s="2"/>
      <c r="B154" s="2"/>
      <c r="C154" s="2"/>
      <c r="D154" s="158"/>
      <c r="E154" s="2"/>
      <c r="F154" s="2"/>
      <c r="G154" s="2"/>
      <c r="H154" s="2"/>
      <c r="I154" s="2"/>
      <c r="J154" s="2"/>
      <c r="K154" s="2"/>
      <c r="L154" s="2"/>
      <c r="M154" s="186"/>
      <c r="N154" s="186"/>
      <c r="O154" s="186"/>
      <c r="P154" s="186"/>
      <c r="Q154" s="186"/>
      <c r="R154" s="186"/>
      <c r="S154" s="186"/>
      <c r="T154" s="186"/>
      <c r="U154" s="186"/>
      <c r="V154" s="186"/>
      <c r="W154" s="186"/>
      <c r="X154" s="186"/>
    </row>
    <row r="155" spans="1:24">
      <c r="A155" s="2"/>
      <c r="B155" s="2"/>
      <c r="C155" s="2"/>
      <c r="D155" s="50"/>
      <c r="E155" s="2"/>
      <c r="F155" s="2"/>
      <c r="G155" s="2"/>
      <c r="H155" s="2"/>
      <c r="I155" s="2"/>
      <c r="J155" s="2"/>
      <c r="K155" s="2"/>
      <c r="L155" s="2"/>
      <c r="M155" s="186"/>
      <c r="N155" s="186"/>
      <c r="O155" s="186"/>
      <c r="P155" s="186"/>
      <c r="Q155" s="186"/>
      <c r="R155" s="186"/>
      <c r="S155" s="186"/>
      <c r="T155" s="186"/>
      <c r="U155" s="186"/>
      <c r="V155" s="186"/>
      <c r="W155" s="186"/>
      <c r="X155" s="186"/>
    </row>
    <row r="156" spans="1:24">
      <c r="A156" s="2"/>
      <c r="B156" s="2"/>
      <c r="C156" s="2"/>
      <c r="D156" s="158"/>
      <c r="E156" s="2"/>
      <c r="F156" s="2"/>
      <c r="G156" s="2"/>
      <c r="H156" s="2"/>
      <c r="I156" s="2"/>
      <c r="J156" s="2"/>
      <c r="K156" s="2"/>
      <c r="L156" s="2"/>
      <c r="M156" s="186"/>
      <c r="N156" s="186"/>
      <c r="O156" s="186"/>
      <c r="P156" s="186"/>
      <c r="Q156" s="186"/>
      <c r="R156" s="186"/>
      <c r="S156" s="186"/>
      <c r="T156" s="186"/>
      <c r="U156" s="186"/>
      <c r="V156" s="186"/>
      <c r="W156" s="186"/>
      <c r="X156" s="186"/>
    </row>
    <row r="157" spans="1:24">
      <c r="A157" s="2"/>
      <c r="B157" s="2"/>
      <c r="C157" s="2"/>
      <c r="D157" s="158"/>
      <c r="E157" s="2"/>
      <c r="F157" s="2"/>
      <c r="G157" s="2"/>
      <c r="H157" s="2"/>
      <c r="I157" s="2"/>
      <c r="J157" s="2"/>
      <c r="K157" s="2"/>
      <c r="L157" s="2"/>
      <c r="M157" s="186"/>
      <c r="N157" s="186"/>
      <c r="O157" s="186"/>
      <c r="P157" s="186"/>
      <c r="Q157" s="186"/>
      <c r="R157" s="186"/>
      <c r="S157" s="186"/>
      <c r="T157" s="186"/>
      <c r="U157" s="186"/>
      <c r="V157" s="186"/>
      <c r="W157" s="186"/>
      <c r="X157" s="186"/>
    </row>
    <row r="158" spans="1:24">
      <c r="A158" s="2"/>
      <c r="B158" s="2"/>
      <c r="C158" s="2"/>
      <c r="D158" s="158"/>
      <c r="E158" s="2"/>
      <c r="F158" s="2"/>
      <c r="G158" s="2"/>
      <c r="H158" s="2"/>
      <c r="I158" s="2"/>
      <c r="J158" s="2"/>
      <c r="K158" s="2"/>
      <c r="L158" s="2"/>
      <c r="M158" s="186"/>
      <c r="N158" s="186"/>
      <c r="O158" s="186"/>
      <c r="P158" s="186"/>
      <c r="Q158" s="186"/>
      <c r="R158" s="186"/>
      <c r="S158" s="186"/>
      <c r="T158" s="186"/>
      <c r="U158" s="186"/>
      <c r="V158" s="186"/>
      <c r="W158" s="186"/>
      <c r="X158" s="186"/>
    </row>
    <row r="159" spans="1:24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</row>
    <row r="160" spans="1:24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</row>
    <row r="161" spans="1:12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</row>
    <row r="162" spans="1:12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</row>
    <row r="163" spans="1:12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</row>
  </sheetData>
  <sheetProtection formatCells="0" formatColumns="0" formatRows="0" insertColumns="0" insertRows="0" insertHyperlinks="0" deleteColumns="0" deleteRows="0" sort="0" autoFilter="0" pivotTables="0"/>
  <sortState ref="A90:C98">
    <sortCondition ref="B69:B77"/>
  </sortState>
  <mergeCells count="4">
    <mergeCell ref="AL31:AM31"/>
    <mergeCell ref="AL32:AM32"/>
    <mergeCell ref="AL33:AM33"/>
    <mergeCell ref="AL34:AM34"/>
  </mergeCells>
  <conditionalFormatting sqref="H3:H13">
    <cfRule type="cellIs" dxfId="0" priority="6" operator="equal">
      <formula>D3</formula>
    </cfRule>
  </conditionalFormatting>
  <conditionalFormatting sqref="AN31">
    <cfRule type="colorScale" priority="5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AN32:AP34">
    <cfRule type="colorScale" priority="4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AN1:AP34">
    <cfRule type="colorScale" priority="3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conditionalFormatting sqref="AN32:AN33">
    <cfRule type="colorScale" priority="2">
      <colorScale>
        <cfvo type="min" val="0"/>
        <cfvo type="percentile" val="50"/>
        <cfvo type="max" val="0"/>
        <color rgb="FF5A8AC6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ignoredErrors>
    <ignoredError sqref="G19:I19 C19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Main</vt:lpstr>
      <vt:lpstr>Stats Scores</vt:lpstr>
      <vt:lpstr>Battle SS</vt:lpstr>
      <vt:lpstr>Trade SS</vt:lpstr>
      <vt:lpstr>Intrigue SS</vt:lpstr>
      <vt:lpstr>Items</vt:lpstr>
      <vt:lpstr>Misc</vt:lpstr>
      <vt:lpstr>cmdHide17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</dc:creator>
  <cp:lastModifiedBy>Me</cp:lastModifiedBy>
  <dcterms:created xsi:type="dcterms:W3CDTF">2013-05-10T14:22:48Z</dcterms:created>
  <dcterms:modified xsi:type="dcterms:W3CDTF">2013-09-30T16:21:45Z</dcterms:modified>
</cp:coreProperties>
</file>